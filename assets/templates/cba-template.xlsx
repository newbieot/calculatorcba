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Ikhsan Radiansyah\Documents\"/>
    </mc:Choice>
  </mc:AlternateContent>
  <xr:revisionPtr revIDLastSave="0" documentId="13_ncr:1_{9FBD052D-B1D9-4974-8CF4-4A6F36E093FF}" xr6:coauthVersionLast="47" xr6:coauthVersionMax="47" xr10:uidLastSave="{00000000-0000-0000-0000-000000000000}"/>
  <bookViews>
    <workbookView xWindow="-98" yWindow="-98" windowWidth="21795" windowHeight="12975" tabRatio="593" xr2:uid="{00000000-000D-0000-FFFF-FFFF00000000}"/>
  </bookViews>
  <sheets>
    <sheet name="CBA2" sheetId="1" r:id="rId1"/>
    <sheet name="Packing List" sheetId="17" r:id="rId2"/>
    <sheet name="rekap CBA 1" sheetId="11" r:id="rId3"/>
    <sheet name="RBL" sheetId="12" r:id="rId4"/>
    <sheet name="RBL 2" sheetId="5" r:id="rId5"/>
    <sheet name="SOW SHADOW" sheetId="15" r:id="rId6"/>
  </sheets>
  <definedNames>
    <definedName name="_xlnm._FilterDatabase" localSheetId="1" hidden="1">'Packing List'!$A$1:$I$19</definedName>
    <definedName name="_xlnm.Print_Area" localSheetId="0">'CBA2'!$A$1:$AI$48</definedName>
    <definedName name="_xlnm.Print_Area" localSheetId="3">RBL!$A$1:$G$48</definedName>
    <definedName name="_xlnm.Print_Area" localSheetId="2">'rekap CBA 1'!$B$1:$G$67</definedName>
    <definedName name="_xlnm.Print_Area" localSheetId="5">'SOW SHADOW'!$B$2:$H$74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7" i="17" l="1"/>
  <c r="O37" i="17" s="1"/>
  <c r="M37" i="17"/>
  <c r="N36" i="17"/>
  <c r="O36" i="17" s="1"/>
  <c r="M36" i="17"/>
  <c r="N35" i="17"/>
  <c r="O35" i="17" s="1"/>
  <c r="M35" i="17"/>
  <c r="N34" i="17"/>
  <c r="O34" i="17" s="1"/>
  <c r="M34" i="17"/>
  <c r="N33" i="17"/>
  <c r="O33" i="17" s="1"/>
  <c r="M33" i="17"/>
  <c r="N32" i="17"/>
  <c r="O32" i="17" s="1"/>
  <c r="M32" i="17"/>
  <c r="N31" i="17"/>
  <c r="O31" i="17" s="1"/>
  <c r="M31" i="17"/>
  <c r="N30" i="17"/>
  <c r="O30" i="17" s="1"/>
  <c r="M30" i="17"/>
  <c r="N29" i="17"/>
  <c r="O29" i="17" s="1"/>
  <c r="M29" i="17"/>
  <c r="N28" i="17"/>
  <c r="O28" i="17" s="1"/>
  <c r="M28" i="17"/>
  <c r="N27" i="17"/>
  <c r="O27" i="17" s="1"/>
  <c r="M27" i="17"/>
  <c r="N26" i="17"/>
  <c r="O26" i="17" s="1"/>
  <c r="M26" i="17"/>
  <c r="N25" i="17"/>
  <c r="O25" i="17" s="1"/>
  <c r="M25" i="17"/>
  <c r="N24" i="17"/>
  <c r="O24" i="17" s="1"/>
  <c r="M24" i="17"/>
  <c r="N23" i="17"/>
  <c r="O23" i="17" s="1"/>
  <c r="M23" i="17"/>
  <c r="N22" i="17"/>
  <c r="O22" i="17" s="1"/>
  <c r="M22" i="17"/>
  <c r="N21" i="17"/>
  <c r="O21" i="17" s="1"/>
  <c r="M21" i="17"/>
  <c r="N20" i="17"/>
  <c r="O20" i="17" s="1"/>
  <c r="M20" i="17"/>
  <c r="N19" i="17"/>
  <c r="O19" i="17" s="1"/>
  <c r="M19" i="17"/>
  <c r="N18" i="17"/>
  <c r="O18" i="17" s="1"/>
  <c r="M18" i="17"/>
  <c r="N17" i="17"/>
  <c r="O17" i="17" s="1"/>
  <c r="M17" i="17"/>
  <c r="N16" i="17"/>
  <c r="O16" i="17" s="1"/>
  <c r="M16" i="17"/>
  <c r="N15" i="17"/>
  <c r="O15" i="17" s="1"/>
  <c r="M15" i="17"/>
  <c r="N14" i="17"/>
  <c r="O14" i="17" s="1"/>
  <c r="M14" i="17"/>
  <c r="N13" i="17"/>
  <c r="O13" i="17" s="1"/>
  <c r="M13" i="17"/>
  <c r="N12" i="17"/>
  <c r="O12" i="17" s="1"/>
  <c r="M12" i="17"/>
  <c r="N11" i="17"/>
  <c r="O11" i="17" s="1"/>
  <c r="M11" i="17"/>
  <c r="N10" i="17"/>
  <c r="O10" i="17" s="1"/>
  <c r="M10" i="17"/>
  <c r="N9" i="17"/>
  <c r="O9" i="17" s="1"/>
  <c r="M9" i="17"/>
  <c r="N8" i="17"/>
  <c r="O8" i="17" s="1"/>
  <c r="M8" i="17"/>
  <c r="N7" i="17"/>
  <c r="O7" i="17" s="1"/>
  <c r="M7" i="17"/>
  <c r="N6" i="17"/>
  <c r="O6" i="17" s="1"/>
  <c r="M6" i="17"/>
  <c r="N5" i="17"/>
  <c r="O5" i="17" s="1"/>
  <c r="M5" i="17"/>
  <c r="N4" i="17"/>
  <c r="O4" i="17" s="1"/>
  <c r="M4" i="17"/>
  <c r="N3" i="17"/>
  <c r="O3" i="17" s="1"/>
  <c r="M3" i="17"/>
  <c r="N2" i="17"/>
  <c r="O2" i="17" s="1"/>
  <c r="M2" i="17"/>
  <c r="F10" i="5"/>
  <c r="F11" i="5"/>
  <c r="F12" i="5"/>
  <c r="F13" i="5"/>
  <c r="AA12" i="1"/>
  <c r="F50" i="11" s="1"/>
  <c r="C36" i="1"/>
  <c r="D17" i="11" s="1"/>
  <c r="Q15" i="1"/>
  <c r="Q16" i="1"/>
  <c r="Q17" i="1"/>
  <c r="S17" i="1" s="1"/>
  <c r="Q18" i="1"/>
  <c r="S18" i="1" s="1"/>
  <c r="Q19" i="1"/>
  <c r="S19" i="1" s="1"/>
  <c r="Q20" i="1"/>
  <c r="S20" i="1" s="1"/>
  <c r="Q21" i="1"/>
  <c r="Q22" i="1"/>
  <c r="S22" i="1" s="1"/>
  <c r="Q23" i="1"/>
  <c r="S23" i="1" s="1"/>
  <c r="Q24" i="1"/>
  <c r="S24" i="1" s="1"/>
  <c r="Q25" i="1"/>
  <c r="S25" i="1" s="1"/>
  <c r="Q26" i="1"/>
  <c r="S26" i="1" s="1"/>
  <c r="Q27" i="1"/>
  <c r="S27" i="1" s="1"/>
  <c r="Q28" i="1"/>
  <c r="Q29" i="1"/>
  <c r="S29" i="1" s="1"/>
  <c r="Q30" i="1"/>
  <c r="Q31" i="1"/>
  <c r="Q32" i="1"/>
  <c r="Q33" i="1"/>
  <c r="S33" i="1" s="1"/>
  <c r="Q34" i="1"/>
  <c r="S34" i="1" s="1"/>
  <c r="Q14" i="1"/>
  <c r="R14" i="1" s="1"/>
  <c r="N36" i="1"/>
  <c r="F41" i="5"/>
  <c r="F35" i="5"/>
  <c r="F34" i="5"/>
  <c r="F30" i="5"/>
  <c r="F29" i="5"/>
  <c r="F28" i="5"/>
  <c r="F23" i="5"/>
  <c r="F22" i="5"/>
  <c r="F21" i="5"/>
  <c r="F20" i="5"/>
  <c r="F19" i="5"/>
  <c r="F16" i="5"/>
  <c r="F15" i="5"/>
  <c r="F14" i="5"/>
  <c r="A5" i="5"/>
  <c r="A4" i="5"/>
  <c r="F33" i="12"/>
  <c r="B4" i="12"/>
  <c r="F53" i="11"/>
  <c r="F48" i="11"/>
  <c r="E42" i="11"/>
  <c r="G41" i="11"/>
  <c r="D40" i="11"/>
  <c r="G39" i="11"/>
  <c r="E38" i="11"/>
  <c r="G35" i="11"/>
  <c r="E34" i="11"/>
  <c r="G33" i="11"/>
  <c r="G31" i="11"/>
  <c r="G29" i="11"/>
  <c r="G28" i="11"/>
  <c r="G27" i="11"/>
  <c r="G26" i="11"/>
  <c r="G25" i="11"/>
  <c r="G24" i="11"/>
  <c r="F23" i="11"/>
  <c r="E23" i="11"/>
  <c r="G22" i="11"/>
  <c r="G23" i="11" s="1"/>
  <c r="AC38" i="1"/>
  <c r="H36" i="1"/>
  <c r="D36" i="1"/>
  <c r="AB34" i="1"/>
  <c r="U34" i="1"/>
  <c r="T34" i="1"/>
  <c r="O34" i="1"/>
  <c r="P34" i="1" s="1"/>
  <c r="L34" i="1"/>
  <c r="I34" i="1"/>
  <c r="J34" i="1" s="1"/>
  <c r="F34" i="1"/>
  <c r="AB33" i="1"/>
  <c r="U33" i="1"/>
  <c r="T33" i="1"/>
  <c r="O33" i="1"/>
  <c r="L33" i="1"/>
  <c r="I33" i="1"/>
  <c r="J33" i="1" s="1"/>
  <c r="F33" i="1"/>
  <c r="AB32" i="1"/>
  <c r="U32" i="1"/>
  <c r="T32" i="1"/>
  <c r="O32" i="1"/>
  <c r="P32" i="1" s="1"/>
  <c r="L32" i="1"/>
  <c r="I32" i="1"/>
  <c r="J32" i="1" s="1"/>
  <c r="F32" i="1"/>
  <c r="AB31" i="1"/>
  <c r="U31" i="1"/>
  <c r="T31" i="1"/>
  <c r="O31" i="1"/>
  <c r="P31" i="1" s="1"/>
  <c r="L31" i="1"/>
  <c r="I31" i="1"/>
  <c r="J31" i="1" s="1"/>
  <c r="F31" i="1"/>
  <c r="AB30" i="1"/>
  <c r="U30" i="1"/>
  <c r="T30" i="1"/>
  <c r="O30" i="1"/>
  <c r="P30" i="1" s="1"/>
  <c r="L30" i="1"/>
  <c r="I30" i="1"/>
  <c r="J30" i="1" s="1"/>
  <c r="F30" i="1"/>
  <c r="G30" i="1" s="1"/>
  <c r="K30" i="1" s="1"/>
  <c r="AB29" i="1"/>
  <c r="U29" i="1"/>
  <c r="T29" i="1"/>
  <c r="O29" i="1"/>
  <c r="L29" i="1"/>
  <c r="I29" i="1"/>
  <c r="J29" i="1" s="1"/>
  <c r="F29" i="1"/>
  <c r="G29" i="1" s="1"/>
  <c r="AB28" i="1"/>
  <c r="U28" i="1"/>
  <c r="T28" i="1"/>
  <c r="O28" i="1"/>
  <c r="P28" i="1" s="1"/>
  <c r="L28" i="1"/>
  <c r="I28" i="1"/>
  <c r="J28" i="1" s="1"/>
  <c r="F28" i="1"/>
  <c r="G28" i="1" s="1"/>
  <c r="AB27" i="1"/>
  <c r="U27" i="1"/>
  <c r="T27" i="1"/>
  <c r="O27" i="1"/>
  <c r="P27" i="1" s="1"/>
  <c r="L27" i="1"/>
  <c r="I27" i="1"/>
  <c r="J27" i="1" s="1"/>
  <c r="F27" i="1"/>
  <c r="AB26" i="1"/>
  <c r="U26" i="1"/>
  <c r="T26" i="1"/>
  <c r="O26" i="1"/>
  <c r="L26" i="1"/>
  <c r="I26" i="1"/>
  <c r="J26" i="1" s="1"/>
  <c r="F26" i="1"/>
  <c r="G26" i="1" s="1"/>
  <c r="K26" i="1" s="1"/>
  <c r="AB25" i="1"/>
  <c r="U25" i="1"/>
  <c r="T25" i="1"/>
  <c r="O25" i="1"/>
  <c r="P25" i="1" s="1"/>
  <c r="L25" i="1"/>
  <c r="I25" i="1"/>
  <c r="J25" i="1" s="1"/>
  <c r="G25" i="1"/>
  <c r="K25" i="1" s="1"/>
  <c r="AB24" i="1"/>
  <c r="U24" i="1"/>
  <c r="T24" i="1"/>
  <c r="O24" i="1"/>
  <c r="P24" i="1" s="1"/>
  <c r="L24" i="1"/>
  <c r="I24" i="1"/>
  <c r="J24" i="1" s="1"/>
  <c r="G24" i="1"/>
  <c r="K24" i="1" s="1"/>
  <c r="AB23" i="1"/>
  <c r="U23" i="1"/>
  <c r="T23" i="1"/>
  <c r="O23" i="1"/>
  <c r="P23" i="1" s="1"/>
  <c r="L23" i="1"/>
  <c r="I23" i="1"/>
  <c r="J23" i="1" s="1"/>
  <c r="G23" i="1"/>
  <c r="K23" i="1" s="1"/>
  <c r="AB22" i="1"/>
  <c r="U22" i="1"/>
  <c r="T22" i="1"/>
  <c r="O22" i="1"/>
  <c r="P22" i="1" s="1"/>
  <c r="L22" i="1"/>
  <c r="I22" i="1"/>
  <c r="J22" i="1" s="1"/>
  <c r="G22" i="1"/>
  <c r="K22" i="1" s="1"/>
  <c r="AB21" i="1"/>
  <c r="U21" i="1"/>
  <c r="T21" i="1"/>
  <c r="O21" i="1"/>
  <c r="P21" i="1" s="1"/>
  <c r="L21" i="1"/>
  <c r="I21" i="1"/>
  <c r="J21" i="1" s="1"/>
  <c r="G21" i="1"/>
  <c r="K21" i="1" s="1"/>
  <c r="AB20" i="1"/>
  <c r="U20" i="1"/>
  <c r="T20" i="1"/>
  <c r="O20" i="1"/>
  <c r="L20" i="1"/>
  <c r="I20" i="1"/>
  <c r="J20" i="1" s="1"/>
  <c r="G20" i="1"/>
  <c r="K20" i="1" s="1"/>
  <c r="AB19" i="1"/>
  <c r="U19" i="1"/>
  <c r="T19" i="1"/>
  <c r="O19" i="1"/>
  <c r="P19" i="1" s="1"/>
  <c r="L19" i="1"/>
  <c r="I19" i="1"/>
  <c r="J19" i="1" s="1"/>
  <c r="G19" i="1"/>
  <c r="K19" i="1" s="1"/>
  <c r="AB18" i="1"/>
  <c r="U18" i="1"/>
  <c r="T18" i="1"/>
  <c r="O18" i="1"/>
  <c r="P18" i="1" s="1"/>
  <c r="R18" i="1" s="1"/>
  <c r="L18" i="1"/>
  <c r="I18" i="1"/>
  <c r="J18" i="1" s="1"/>
  <c r="G18" i="1"/>
  <c r="K18" i="1" s="1"/>
  <c r="AB17" i="1"/>
  <c r="U17" i="1"/>
  <c r="T17" i="1"/>
  <c r="O17" i="1"/>
  <c r="L17" i="1"/>
  <c r="I17" i="1"/>
  <c r="J17" i="1" s="1"/>
  <c r="G17" i="1"/>
  <c r="K17" i="1" s="1"/>
  <c r="AB16" i="1"/>
  <c r="U16" i="1"/>
  <c r="T16" i="1"/>
  <c r="O16" i="1"/>
  <c r="P16" i="1" s="1"/>
  <c r="L16" i="1"/>
  <c r="I16" i="1"/>
  <c r="J16" i="1" s="1"/>
  <c r="G16" i="1"/>
  <c r="K16" i="1" s="1"/>
  <c r="AB15" i="1"/>
  <c r="U15" i="1"/>
  <c r="T15" i="1"/>
  <c r="O15" i="1"/>
  <c r="P15" i="1" s="1"/>
  <c r="L15" i="1"/>
  <c r="I15" i="1"/>
  <c r="J15" i="1" s="1"/>
  <c r="G15" i="1"/>
  <c r="U14" i="1"/>
  <c r="T14" i="1"/>
  <c r="I14" i="1"/>
  <c r="J14" i="1" s="1"/>
  <c r="T9" i="1"/>
  <c r="R27" i="1" l="1"/>
  <c r="F31" i="5"/>
  <c r="R19" i="1"/>
  <c r="V25" i="1"/>
  <c r="F24" i="5"/>
  <c r="K29" i="1"/>
  <c r="E44" i="11"/>
  <c r="F36" i="5"/>
  <c r="E13" i="12" s="1"/>
  <c r="F17" i="5"/>
  <c r="F25" i="5" s="1"/>
  <c r="W16" i="1" s="1"/>
  <c r="F32" i="11"/>
  <c r="G32" i="11" s="1"/>
  <c r="F37" i="11"/>
  <c r="G37" i="11" s="1"/>
  <c r="E20" i="12"/>
  <c r="F40" i="11"/>
  <c r="E24" i="12"/>
  <c r="E27" i="12" s="1"/>
  <c r="R21" i="1"/>
  <c r="V20" i="1"/>
  <c r="V19" i="1"/>
  <c r="R34" i="1"/>
  <c r="V34" i="1"/>
  <c r="V18" i="1"/>
  <c r="V33" i="1"/>
  <c r="V17" i="1"/>
  <c r="T36" i="1"/>
  <c r="U36" i="1"/>
  <c r="V29" i="1"/>
  <c r="V27" i="1"/>
  <c r="R25" i="1"/>
  <c r="P33" i="1"/>
  <c r="R33" i="1" s="1"/>
  <c r="V26" i="1"/>
  <c r="AB36" i="1"/>
  <c r="G52" i="11" s="1"/>
  <c r="V22" i="1"/>
  <c r="X15" i="1"/>
  <c r="X34" i="1"/>
  <c r="X18" i="1"/>
  <c r="X23" i="1"/>
  <c r="X32" i="1"/>
  <c r="X27" i="1"/>
  <c r="X24" i="1"/>
  <c r="X26" i="1"/>
  <c r="X21" i="1"/>
  <c r="X29" i="1"/>
  <c r="X17" i="1"/>
  <c r="X28" i="1"/>
  <c r="X22" i="1"/>
  <c r="X14" i="1"/>
  <c r="X33" i="1"/>
  <c r="X31" i="1"/>
  <c r="X25" i="1"/>
  <c r="X20" i="1"/>
  <c r="X16" i="1"/>
  <c r="X19" i="1"/>
  <c r="X30" i="1"/>
  <c r="F36" i="1"/>
  <c r="D12" i="11" s="1"/>
  <c r="K14" i="1"/>
  <c r="J36" i="1"/>
  <c r="D14" i="11" s="1"/>
  <c r="V24" i="1"/>
  <c r="G27" i="1"/>
  <c r="E29" i="12"/>
  <c r="V23" i="1"/>
  <c r="K28" i="1"/>
  <c r="P29" i="1"/>
  <c r="R29" i="1" s="1"/>
  <c r="G33" i="1"/>
  <c r="K33" i="1" s="1"/>
  <c r="G34" i="1"/>
  <c r="K34" i="1" s="1"/>
  <c r="R32" i="1"/>
  <c r="R16" i="1"/>
  <c r="S21" i="1"/>
  <c r="V21" i="1" s="1"/>
  <c r="K15" i="1"/>
  <c r="R31" i="1"/>
  <c r="R15" i="1"/>
  <c r="R30" i="1"/>
  <c r="G32" i="1"/>
  <c r="K32" i="1" s="1"/>
  <c r="I36" i="1"/>
  <c r="D15" i="11" s="1"/>
  <c r="R28" i="1"/>
  <c r="P26" i="1"/>
  <c r="R26" i="1" s="1"/>
  <c r="G31" i="1"/>
  <c r="K31" i="1" s="1"/>
  <c r="S32" i="1"/>
  <c r="V32" i="1" s="1"/>
  <c r="S16" i="1"/>
  <c r="V16" i="1" s="1"/>
  <c r="S31" i="1"/>
  <c r="V31" i="1" s="1"/>
  <c r="S15" i="1"/>
  <c r="V15" i="1" s="1"/>
  <c r="P20" i="1"/>
  <c r="R20" i="1" s="1"/>
  <c r="S30" i="1"/>
  <c r="V30" i="1" s="1"/>
  <c r="P17" i="1"/>
  <c r="R24" i="1"/>
  <c r="S14" i="1"/>
  <c r="V14" i="1" s="1"/>
  <c r="R23" i="1"/>
  <c r="S28" i="1"/>
  <c r="V28" i="1" s="1"/>
  <c r="L14" i="1"/>
  <c r="L36" i="1" s="1"/>
  <c r="E9" i="12" s="1"/>
  <c r="R22" i="1"/>
  <c r="E21" i="12" l="1"/>
  <c r="F38" i="11"/>
  <c r="W26" i="1"/>
  <c r="Y26" i="1" s="1"/>
  <c r="AC26" i="1" s="1"/>
  <c r="W15" i="1"/>
  <c r="Y15" i="1" s="1"/>
  <c r="AA15" i="1" s="1"/>
  <c r="W21" i="1"/>
  <c r="Y21" i="1" s="1"/>
  <c r="W31" i="1"/>
  <c r="Y31" i="1" s="1"/>
  <c r="P36" i="1"/>
  <c r="W34" i="1"/>
  <c r="Y34" i="1" s="1"/>
  <c r="Z34" i="1" s="1"/>
  <c r="W33" i="1"/>
  <c r="Y33" i="1" s="1"/>
  <c r="AA33" i="1" s="1"/>
  <c r="W25" i="1"/>
  <c r="Y25" i="1" s="1"/>
  <c r="F42" i="11"/>
  <c r="G40" i="11"/>
  <c r="G42" i="11" s="1"/>
  <c r="W22" i="1"/>
  <c r="Y22" i="1" s="1"/>
  <c r="AA22" i="1" s="1"/>
  <c r="W28" i="1"/>
  <c r="Y28" i="1" s="1"/>
  <c r="AA28" i="1" s="1"/>
  <c r="W18" i="1"/>
  <c r="Y18" i="1" s="1"/>
  <c r="AC18" i="1" s="1"/>
  <c r="W29" i="1"/>
  <c r="Y29" i="1" s="1"/>
  <c r="Z29" i="1" s="1"/>
  <c r="W20" i="1"/>
  <c r="Y20" i="1" s="1"/>
  <c r="Z20" i="1" s="1"/>
  <c r="W32" i="1"/>
  <c r="Y32" i="1" s="1"/>
  <c r="AC32" i="1" s="1"/>
  <c r="W30" i="1"/>
  <c r="Y30" i="1" s="1"/>
  <c r="AA30" i="1" s="1"/>
  <c r="W19" i="1"/>
  <c r="Y19" i="1" s="1"/>
  <c r="Z19" i="1" s="1"/>
  <c r="W17" i="1"/>
  <c r="Y17" i="1" s="1"/>
  <c r="F39" i="5"/>
  <c r="W27" i="1"/>
  <c r="Y27" i="1" s="1"/>
  <c r="AC27" i="1" s="1"/>
  <c r="W23" i="1"/>
  <c r="Y23" i="1" s="1"/>
  <c r="Z23" i="1" s="1"/>
  <c r="G36" i="1"/>
  <c r="D13" i="11" s="1"/>
  <c r="G55" i="11" s="1"/>
  <c r="W24" i="1"/>
  <c r="Y24" i="1" s="1"/>
  <c r="AA24" i="1" s="1"/>
  <c r="Y16" i="1"/>
  <c r="AC16" i="1" s="1"/>
  <c r="X36" i="1"/>
  <c r="K27" i="1"/>
  <c r="K36" i="1" s="1"/>
  <c r="R17" i="1"/>
  <c r="R36" i="1" s="1"/>
  <c r="O36" i="1"/>
  <c r="S36" i="1"/>
  <c r="E10" i="12" s="1"/>
  <c r="E16" i="12" s="1"/>
  <c r="V36" i="1"/>
  <c r="Q36" i="1"/>
  <c r="G36" i="11" l="1"/>
  <c r="G38" i="11" s="1"/>
  <c r="E28" i="12"/>
  <c r="E30" i="12" s="1"/>
  <c r="AA26" i="1"/>
  <c r="Z26" i="1"/>
  <c r="Z18" i="1"/>
  <c r="AC34" i="1"/>
  <c r="AA34" i="1"/>
  <c r="Z22" i="1"/>
  <c r="Z25" i="1"/>
  <c r="AA25" i="1"/>
  <c r="AC24" i="1"/>
  <c r="W36" i="1"/>
  <c r="Z24" i="1"/>
  <c r="AC22" i="1"/>
  <c r="D11" i="11"/>
  <c r="Y14" i="1"/>
  <c r="AC14" i="1" s="1"/>
  <c r="AA18" i="1"/>
  <c r="AA17" i="1"/>
  <c r="AC17" i="1"/>
  <c r="Z17" i="1"/>
  <c r="AC25" i="1"/>
  <c r="AA29" i="1"/>
  <c r="AC29" i="1"/>
  <c r="Z15" i="1"/>
  <c r="AC30" i="1"/>
  <c r="AA27" i="1"/>
  <c r="AA16" i="1"/>
  <c r="AA32" i="1"/>
  <c r="Z27" i="1"/>
  <c r="AD27" i="1" s="1"/>
  <c r="AE27" i="1" s="1"/>
  <c r="AF27" i="1" s="1"/>
  <c r="AG27" i="1" s="1"/>
  <c r="Z32" i="1"/>
  <c r="AC15" i="1"/>
  <c r="Z16" i="1"/>
  <c r="Z30" i="1"/>
  <c r="AC19" i="1"/>
  <c r="Z33" i="1"/>
  <c r="AC23" i="1"/>
  <c r="AA23" i="1"/>
  <c r="AC20" i="1"/>
  <c r="AA19" i="1"/>
  <c r="AA20" i="1"/>
  <c r="Z21" i="1"/>
  <c r="AC21" i="1"/>
  <c r="AA21" i="1"/>
  <c r="AC33" i="1"/>
  <c r="AA31" i="1"/>
  <c r="Z31" i="1"/>
  <c r="AC31" i="1"/>
  <c r="AC28" i="1"/>
  <c r="Z28" i="1"/>
  <c r="F30" i="11"/>
  <c r="G30" i="11" s="1"/>
  <c r="G34" i="11" s="1"/>
  <c r="AD34" i="1" l="1"/>
  <c r="AE34" i="1" s="1"/>
  <c r="AF34" i="1" s="1"/>
  <c r="AG34" i="1" s="1"/>
  <c r="AD32" i="1"/>
  <c r="AE32" i="1" s="1"/>
  <c r="AF32" i="1" s="1"/>
  <c r="AG32" i="1" s="1"/>
  <c r="G44" i="11"/>
  <c r="G45" i="11" s="1"/>
  <c r="AD18" i="1"/>
  <c r="AE18" i="1" s="1"/>
  <c r="AF18" i="1" s="1"/>
  <c r="AG18" i="1" s="1"/>
  <c r="AD26" i="1"/>
  <c r="AE26" i="1" s="1"/>
  <c r="AF26" i="1" s="1"/>
  <c r="AG26" i="1" s="1"/>
  <c r="AD22" i="1"/>
  <c r="AE22" i="1" s="1"/>
  <c r="AF22" i="1" s="1"/>
  <c r="AG22" i="1" s="1"/>
  <c r="AD17" i="1"/>
  <c r="AE17" i="1" s="1"/>
  <c r="AF17" i="1" s="1"/>
  <c r="AG17" i="1" s="1"/>
  <c r="AD24" i="1"/>
  <c r="AE24" i="1" s="1"/>
  <c r="AF24" i="1" s="1"/>
  <c r="AG24" i="1" s="1"/>
  <c r="AD25" i="1"/>
  <c r="AE25" i="1" s="1"/>
  <c r="AF25" i="1" s="1"/>
  <c r="AG25" i="1" s="1"/>
  <c r="Z14" i="1"/>
  <c r="AA14" i="1"/>
  <c r="AA36" i="1" s="1"/>
  <c r="G50" i="11" s="1"/>
  <c r="AD23" i="1"/>
  <c r="AE23" i="1" s="1"/>
  <c r="AF23" i="1" s="1"/>
  <c r="AG23" i="1" s="1"/>
  <c r="AD29" i="1"/>
  <c r="AE29" i="1" s="1"/>
  <c r="AF29" i="1" s="1"/>
  <c r="AG29" i="1" s="1"/>
  <c r="AD15" i="1"/>
  <c r="AE15" i="1" s="1"/>
  <c r="AF15" i="1" s="1"/>
  <c r="AG15" i="1" s="1"/>
  <c r="Y36" i="1"/>
  <c r="AD16" i="1"/>
  <c r="AE16" i="1" s="1"/>
  <c r="AF16" i="1" s="1"/>
  <c r="AG16" i="1" s="1"/>
  <c r="AD19" i="1"/>
  <c r="AE19" i="1" s="1"/>
  <c r="AF19" i="1" s="1"/>
  <c r="AG19" i="1" s="1"/>
  <c r="AD30" i="1"/>
  <c r="AE30" i="1" s="1"/>
  <c r="AF30" i="1" s="1"/>
  <c r="AG30" i="1" s="1"/>
  <c r="AD20" i="1"/>
  <c r="AE20" i="1" s="1"/>
  <c r="AF20" i="1" s="1"/>
  <c r="AG20" i="1" s="1"/>
  <c r="AD33" i="1"/>
  <c r="AE33" i="1" s="1"/>
  <c r="AF33" i="1" s="1"/>
  <c r="AG33" i="1" s="1"/>
  <c r="AC36" i="1"/>
  <c r="AD21" i="1"/>
  <c r="AE21" i="1" s="1"/>
  <c r="AF21" i="1" s="1"/>
  <c r="AG21" i="1" s="1"/>
  <c r="F34" i="11"/>
  <c r="F44" i="11" s="1"/>
  <c r="AD28" i="1"/>
  <c r="AE28" i="1" s="1"/>
  <c r="AF28" i="1" s="1"/>
  <c r="AG28" i="1" s="1"/>
  <c r="AD31" i="1"/>
  <c r="AE31" i="1" s="1"/>
  <c r="AF31" i="1" s="1"/>
  <c r="AG31" i="1" s="1"/>
  <c r="AD14" i="1" l="1"/>
  <c r="AE14" i="1" s="1"/>
  <c r="AE36" i="1" s="1"/>
  <c r="Z36" i="1"/>
  <c r="G48" i="11" s="1"/>
  <c r="AF14" i="1" l="1"/>
  <c r="AF36" i="1" s="1"/>
  <c r="AD36" i="1"/>
  <c r="AG14" i="1" l="1"/>
  <c r="G46" i="11"/>
  <c r="AG36" i="1"/>
  <c r="F46" i="11" l="1"/>
  <c r="G47" i="11"/>
  <c r="G49" i="11" s="1"/>
  <c r="G51" i="11" s="1"/>
  <c r="G54" i="11" s="1"/>
  <c r="G56" i="11" s="1"/>
  <c r="G57" i="11" s="1"/>
  <c r="U3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sumarso sumarso</author>
  </authors>
  <commentList>
    <comment ref="D9" authorId="0" shapeId="0" xr:uid="{00000000-0006-0000-0100-000001000000}">
      <text>
        <r>
          <rPr>
            <b/>
            <sz val="9"/>
            <rFont val="Tahoma"/>
            <family val="2"/>
          </rPr>
          <t>Pilihan : 
Transposrtasi/Warehousing/Freight Forwarding/Kargopos</t>
        </r>
      </text>
    </comment>
    <comment ref="D10" authorId="0" shapeId="0" xr:uid="{00000000-0006-0000-0100-000002000000}">
      <text>
        <r>
          <rPr>
            <b/>
            <sz val="9"/>
            <rFont val="Tahoma"/>
            <family val="2"/>
          </rPr>
          <t>Pilihan : 
Darat (KBM Dinas/Sewa)/Udara/Laut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WIKA</author>
  </authors>
  <commentList>
    <comment ref="B32" authorId="0" shapeId="0" xr:uid="{00000000-0006-0000-0400-000001000000}">
      <text>
        <r>
          <rPr>
            <b/>
            <sz val="9"/>
            <rFont val="Times New Roman"/>
            <family val="1"/>
          </rPr>
          <t>WIKA:</t>
        </r>
        <r>
          <rPr>
            <sz val="9"/>
            <rFont val="Times New Roman"/>
            <family val="1"/>
          </rPr>
          <t xml:space="preserve">
Full Truck Loading (Kiriman tidak digabung dengan barang orang lain)
Less Truck Loading (Kiriman digabung dengan barang orang lain)</t>
        </r>
      </text>
    </comment>
  </commentList>
</comments>
</file>

<file path=xl/sharedStrings.xml><?xml version="1.0" encoding="utf-8"?>
<sst xmlns="http://schemas.openxmlformats.org/spreadsheetml/2006/main" count="564" uniqueCount="385">
  <si>
    <t>PT POS INDONESIA (PERSERO)</t>
  </si>
  <si>
    <t>Lampiran 2</t>
  </si>
  <si>
    <t>KCU BATAM 29400</t>
  </si>
  <si>
    <t>COST AND BENEFIT ANALYSIS</t>
  </si>
  <si>
    <t>BATAM 29400</t>
  </si>
  <si>
    <t>NO</t>
  </si>
  <si>
    <t xml:space="preserve">KAB / KOTA </t>
  </si>
  <si>
    <t>ALOKASI</t>
  </si>
  <si>
    <t>PENDAPATAN</t>
  </si>
  <si>
    <t>BIAYA LANGSUNG</t>
  </si>
  <si>
    <t>JUMLAH BIAYA LANGSUNG (PROYEK)</t>
  </si>
  <si>
    <t>BIAYA TIDAK LANGSUNG</t>
  </si>
  <si>
    <t>JUMLAH BIAYA TIDAK LANGSUNG</t>
  </si>
  <si>
    <t>TOTAL BIAYA PROYEK</t>
  </si>
  <si>
    <t>LABA</t>
  </si>
  <si>
    <t>%</t>
  </si>
  <si>
    <t>TARIF POS (Rp)</t>
  </si>
  <si>
    <t>ONGKOS KIRIM</t>
  </si>
  <si>
    <t>TOTAL NILAI PPN</t>
  </si>
  <si>
    <t>Packing</t>
  </si>
  <si>
    <t>PPN Barang</t>
  </si>
  <si>
    <t>Nilai Packing</t>
  </si>
  <si>
    <t>TOTAL NILAI PROJECT</t>
  </si>
  <si>
    <t>Biaya Pickup</t>
  </si>
  <si>
    <t>RITASE</t>
  </si>
  <si>
    <t>TARIF/RITASE</t>
  </si>
  <si>
    <t>DPP</t>
  </si>
  <si>
    <t>PPN</t>
  </si>
  <si>
    <t>PPH</t>
  </si>
  <si>
    <t>JUMLAH YANG HARUS DIBAYARKAN</t>
  </si>
  <si>
    <t>JUMLAH SEWA TOTAL KBM</t>
  </si>
  <si>
    <t xml:space="preserve">Biaya Pemasaran </t>
  </si>
  <si>
    <t>TOTAL BIAYA OPERASI</t>
  </si>
  <si>
    <t>UMUM</t>
  </si>
  <si>
    <t>Overhead</t>
  </si>
  <si>
    <t>COF</t>
  </si>
  <si>
    <t>ASURANSI TIDAK LANGSUNG</t>
  </si>
  <si>
    <t xml:space="preserve">RESIKO LAINNYA </t>
  </si>
  <si>
    <t>Berat (Kg)</t>
  </si>
  <si>
    <t>KBM</t>
  </si>
  <si>
    <t>JUMLAH</t>
  </si>
  <si>
    <t>Mengetahuai :</t>
  </si>
  <si>
    <t>Ditetapkan Oleh</t>
  </si>
  <si>
    <t>Mengetahui</t>
  </si>
  <si>
    <t>Diperiksa Oleh :</t>
  </si>
  <si>
    <t>Dibuat Oleh</t>
  </si>
  <si>
    <t>EGM KCU BATAM</t>
  </si>
  <si>
    <t>EVP Regional I</t>
  </si>
  <si>
    <t>Deputi EVP</t>
  </si>
  <si>
    <t>Deputi OVP</t>
  </si>
  <si>
    <t>Manajer Penjualan</t>
  </si>
  <si>
    <t xml:space="preserve">AM Penjualan </t>
  </si>
  <si>
    <t xml:space="preserve">Khresna Adi Nugraha </t>
  </si>
  <si>
    <t>Raden Bagus Muhammad Yusuf</t>
  </si>
  <si>
    <t>Nippos : 986393010</t>
  </si>
  <si>
    <t>Nippos :  973343140</t>
  </si>
  <si>
    <t>COST AND BENEFIT ANALYSIS ( CBA )</t>
  </si>
  <si>
    <t>1. NAMA PELANGGAN</t>
  </si>
  <si>
    <t>2. JENIS KIRIMAN (KOMODITI)</t>
  </si>
  <si>
    <t>3. TUJUAN KIRIMAN</t>
  </si>
  <si>
    <t>4. JENIS LAYANAN</t>
  </si>
  <si>
    <t>FREIGHT FORWARDING</t>
  </si>
  <si>
    <t>5. ALAT TRANSPORTASI</t>
  </si>
  <si>
    <t>6. NILAI PROYEK</t>
  </si>
  <si>
    <t>PENDAPATAN  KARGO</t>
  </si>
  <si>
    <t>cba online</t>
  </si>
  <si>
    <t>PPN ( 1,1%)</t>
  </si>
  <si>
    <t>Pendapatan Packing</t>
  </si>
  <si>
    <t>PPn (11%)</t>
  </si>
  <si>
    <t>7. NILAI BARANG</t>
  </si>
  <si>
    <t>8. VOLUME PROYEK</t>
  </si>
  <si>
    <t>Kg</t>
  </si>
  <si>
    <t>9. PERIODE PELAKSANAAN</t>
  </si>
  <si>
    <t>10. TERMIN WAKTU PEMBAYARAN</t>
  </si>
  <si>
    <t>Per SPK 30 Hari</t>
  </si>
  <si>
    <t>NO REKENING</t>
  </si>
  <si>
    <t>KELOMPOK BIAYA</t>
  </si>
  <si>
    <t>BIAYA TAK LANGSUNG - REGULER</t>
  </si>
  <si>
    <t>JUMLAH BIAYA</t>
  </si>
  <si>
    <t>51.01.01.02.01</t>
  </si>
  <si>
    <t>Beban Tenaga Kontrak</t>
  </si>
  <si>
    <t>Jumlah Beban Pegawai</t>
  </si>
  <si>
    <t>Beban Operasi</t>
  </si>
  <si>
    <t>51.02.01.03.02</t>
  </si>
  <si>
    <t>Peningkatan Mutu</t>
  </si>
  <si>
    <t>51.02.02.01.01</t>
  </si>
  <si>
    <t>Ongkos Bongkar Muat Kantungpos</t>
  </si>
  <si>
    <t>51.02.02.01.02</t>
  </si>
  <si>
    <t>Gudang Dan Pengepakan</t>
  </si>
  <si>
    <t>51.02.03.01.01</t>
  </si>
  <si>
    <t>Pesawat Udara Dalam negeri</t>
  </si>
  <si>
    <t>51.02.03.01.02</t>
  </si>
  <si>
    <t>Kapal Laut/Angkutan Sungai/Danau Dalam Negeri</t>
  </si>
  <si>
    <t>51.02.05.00.02</t>
  </si>
  <si>
    <t>Sewa Kendaraan Roda 4 dan 6</t>
  </si>
  <si>
    <t>51.02.05.00.04</t>
  </si>
  <si>
    <t>Bahan Bakar Minyak dan Pelumas</t>
  </si>
  <si>
    <t>51.02.08.00.01</t>
  </si>
  <si>
    <t>Pemasaran Surat Pos dan Paket Pos</t>
  </si>
  <si>
    <t>51.02.08.00.02</t>
  </si>
  <si>
    <t>Pemasaran Logistik</t>
  </si>
  <si>
    <t>Jumlah Beban Operasi</t>
  </si>
  <si>
    <t>Beban Administrasi</t>
  </si>
  <si>
    <t>51.03.01.00.01</t>
  </si>
  <si>
    <t>Alat Tulis Menulis</t>
  </si>
  <si>
    <t>51.03.01.00.03</t>
  </si>
  <si>
    <t>Pemakaian Fotocopy</t>
  </si>
  <si>
    <t>Jumlah Beban Administrasi</t>
  </si>
  <si>
    <t>Beban Umum</t>
  </si>
  <si>
    <t>51.04.03.00.01</t>
  </si>
  <si>
    <t>51.04.04.00.02</t>
  </si>
  <si>
    <t>Penyelenggaraan Rapat</t>
  </si>
  <si>
    <t>Jumlah Beban Umum</t>
  </si>
  <si>
    <t>BIAYA PROYEK/BIAYA LANGSUNG (1)</t>
  </si>
  <si>
    <t>NET PROFIT MARGIN (2)</t>
  </si>
  <si>
    <t>TOTAL BIAYA SETELAH PROFIT MARGIN (3=1+2))</t>
  </si>
  <si>
    <t>OVER HEAD (4)</t>
  </si>
  <si>
    <t>TOTAL BIAYA SETELAH OVER HEAD (5=3+4)</t>
  </si>
  <si>
    <t>RESIKO BIAYA MODAL/COST OF FUND (6)</t>
  </si>
  <si>
    <t>TOTAL BIAYA SETELAH RESIKO BIAYA MODAL (7=5+6)</t>
  </si>
  <si>
    <t>ASURANSI TIDAK LANGSUNG (8)</t>
  </si>
  <si>
    <t>RESIKO LAINNYA + Optimalisasi (10)</t>
  </si>
  <si>
    <t>TOTAL BIAYA PROYEK SEBELUM PAJAK (11 = 7+8+9+10)</t>
  </si>
  <si>
    <t>PPN (112)</t>
  </si>
  <si>
    <t>TOTAL BIAYA PROYEK SETELAH PAJAK (13=10+11)</t>
  </si>
  <si>
    <t>Harga Satuan Pekerjaan (Total Biaya setelah Pajak/Volume)</t>
  </si>
  <si>
    <t>EGM KCU Batam</t>
  </si>
  <si>
    <t>Khresna Adi Nugraha</t>
  </si>
  <si>
    <t>Ikhsan Radiansyah</t>
  </si>
  <si>
    <t>Riani Nindiyanti</t>
  </si>
  <si>
    <t>Nippos : 995480412</t>
  </si>
  <si>
    <t>Nippos : 987413820</t>
  </si>
  <si>
    <t>PT POS INDONESIA</t>
  </si>
  <si>
    <t xml:space="preserve">RINCIAN BIAYA LANGSUNG </t>
  </si>
  <si>
    <t>No</t>
  </si>
  <si>
    <t>Korek</t>
  </si>
  <si>
    <t>Kelompok Beban</t>
  </si>
  <si>
    <t>Besar Uang</t>
  </si>
  <si>
    <t>Keterangan</t>
  </si>
  <si>
    <t>I</t>
  </si>
  <si>
    <t>Biaya Gudang &amp; Pengepakan</t>
  </si>
  <si>
    <t>SUB JUMLAH</t>
  </si>
  <si>
    <t>II</t>
  </si>
  <si>
    <t>BEBAN ADM</t>
  </si>
  <si>
    <t>Perlengkapan Kantor</t>
  </si>
  <si>
    <t>III</t>
  </si>
  <si>
    <t>BEBAN UMUM</t>
  </si>
  <si>
    <t>Perjalanan Dinas Dalam Negeri</t>
  </si>
  <si>
    <t>Pemakaian Telepon/Telegram/Fax</t>
  </si>
  <si>
    <t>TOTAL BIAYA</t>
  </si>
  <si>
    <t>JUMLAH BERAT</t>
  </si>
  <si>
    <t>BIAYA PER KG</t>
  </si>
  <si>
    <t>Lampiran 3</t>
  </si>
  <si>
    <t xml:space="preserve">RAB  BIAYA ADMINISTRASI DAN UMUM </t>
  </si>
  <si>
    <t>URAIAN</t>
  </si>
  <si>
    <t>JUMLAH UNIT</t>
  </si>
  <si>
    <t>SATUAN</t>
  </si>
  <si>
    <t>HARGA PERUNIT</t>
  </si>
  <si>
    <t>(Rp)</t>
  </si>
  <si>
    <t>A.</t>
  </si>
  <si>
    <t>BIAYA  ADMINISTRASI</t>
  </si>
  <si>
    <t>51 03 01 0001</t>
  </si>
  <si>
    <t>Alat Tulis Kantor (ATK)</t>
  </si>
  <si>
    <t>B</t>
  </si>
  <si>
    <t>51 03 01 0003</t>
  </si>
  <si>
    <t>lbr</t>
  </si>
  <si>
    <t>SKEP, PKS, SE</t>
  </si>
  <si>
    <t>Penjilidan dokumen Tender</t>
  </si>
  <si>
    <t>buku</t>
  </si>
  <si>
    <t>Materai</t>
  </si>
  <si>
    <t>Penjilidan dokumen Pengadaan</t>
  </si>
  <si>
    <t>JUMLAH BIAYA ADMINISTRASI</t>
  </si>
  <si>
    <t>C</t>
  </si>
  <si>
    <t>BIAYA UMUM</t>
  </si>
  <si>
    <t>51 04 03 0001</t>
  </si>
  <si>
    <t>a. Tiket Pesawat</t>
  </si>
  <si>
    <t>b. Hotel</t>
  </si>
  <si>
    <t>c. Sewa mobil setempat (4 hari)</t>
  </si>
  <si>
    <t>D</t>
  </si>
  <si>
    <t>PEMASARAN SURAT POS DAN PAKET POS</t>
  </si>
  <si>
    <t>51 02 08 0001</t>
  </si>
  <si>
    <t>Pemasaran Surat Pos dan Pekat Pos</t>
  </si>
  <si>
    <t>a. Pembahasan Project Tali Tross</t>
  </si>
  <si>
    <t>b. Maintenance dan evaluasi Project</t>
  </si>
  <si>
    <t>JUMLAH BIAYA UMUM</t>
  </si>
  <si>
    <t>JUMLAH BIAYA ADMINISTRASI DAN UMUM</t>
  </si>
  <si>
    <t>EGM KCU KCU BATAM</t>
  </si>
  <si>
    <t>SCOPE OF WORK</t>
  </si>
  <si>
    <t>ID Dan Judul Proyek</t>
  </si>
  <si>
    <t>:</t>
  </si>
  <si>
    <t>1.1 Client and Project Information</t>
  </si>
  <si>
    <t>Nama Mitra :</t>
  </si>
  <si>
    <t>Project Location</t>
  </si>
  <si>
    <t>Nama PIC :</t>
  </si>
  <si>
    <t>REGIONAL/KCU/KC Penanggung Jawab :</t>
  </si>
  <si>
    <t>BATAM</t>
  </si>
  <si>
    <t>Alamat Mitra :</t>
  </si>
  <si>
    <t>Nama PIC / Jabatan / CP :</t>
  </si>
  <si>
    <t>No Telp dan No Hp :</t>
  </si>
  <si>
    <t xml:space="preserve">GAMBAR POLA OPERASI </t>
  </si>
  <si>
    <t>E-Mail :</t>
  </si>
  <si>
    <t>Penjelasan Pola Operasi :</t>
  </si>
  <si>
    <t>1.2 Project Detail /  Detail Proyek</t>
  </si>
  <si>
    <t>Origine (Asal Kiriman)</t>
  </si>
  <si>
    <t>Nama Origin</t>
  </si>
  <si>
    <t>Jumlah Origin</t>
  </si>
  <si>
    <t>Single Pick Up</t>
  </si>
  <si>
    <t>Destinasi (Tujuan Kiriman)</t>
  </si>
  <si>
    <t>Nama Destinasi</t>
  </si>
  <si>
    <t>Jumlah Destinasi</t>
  </si>
  <si>
    <t>Jenis Cargo (General/Special/Dangerious Good) dan Nama Cargo :</t>
  </si>
  <si>
    <t>Bentuk Kiriman</t>
  </si>
  <si>
    <t>Tujuan Proyek</t>
  </si>
  <si>
    <t>Frekuensi Pelaksaan</t>
  </si>
  <si>
    <t>Sekali dalam Masa Proyek</t>
  </si>
  <si>
    <t>Berat Kiriman (per koli)</t>
  </si>
  <si>
    <t>total berat</t>
  </si>
  <si>
    <t>=</t>
  </si>
  <si>
    <t>Dimensi Per koli (cm)</t>
  </si>
  <si>
    <t xml:space="preserve">Jumlah Koli </t>
  </si>
  <si>
    <t>Estimasi trip</t>
  </si>
  <si>
    <t>Pola Operasi</t>
  </si>
  <si>
    <t>Door to Door</t>
  </si>
  <si>
    <t>Jenis Layanan (FTL/LTL)</t>
  </si>
  <si>
    <t>Jenis Kendaraan</t>
  </si>
  <si>
    <t>1.3 Vendor Selection Process/Proses Pemilihan Vendor</t>
  </si>
  <si>
    <t xml:space="preserve">Syarat mitra penyedia jasa </t>
  </si>
  <si>
    <t>Kendaraan vendor harus sesuai jenis kargo ; Kendaraan vendor mampu mengakomodir dan mendistribusi kiriman dengan aman; Tidak memungkinkan diangkut bersama kiriman reguler PT Pos Indonesia karena kuantitas banyak; kiriman dilakukan secara bersamaan dan membutuhkan penanganan khusus</t>
  </si>
  <si>
    <t xml:space="preserve">1. Memiliki dokumen legalitas sebagai berikut: a) Akte pendirian perusahaan beserta akta perubahannya yang telah terdaftar di Departemen terkait; b) SIUP; c) SITU/Keterangan Domisili; d) Tanda Daftar Perusahaan (TDP); e) SPKP; f) Nomor Induk Berusaha (NIB); g) NPWP </t>
  </si>
  <si>
    <t>2. Memiliki armada sesuai dengan kebutuhan customer dan jaringan service sesuai kebutuhan customer</t>
  </si>
  <si>
    <t>3. Memiliki kecakapan, keahlian (core competence), pengalaman, kemampuan teknis, dan manajerial serta kewenangan dalam melakukan perjanjian</t>
  </si>
  <si>
    <t>4. Memiliki sumber daya manusia, modal, dan infrastruktur yang diperlukan dalam bisnis sebagai mitra</t>
  </si>
  <si>
    <t>5. Tidak sedang dalam pengawasan pengadilan, tidak dinyatakan dalam keadaan pailit oleh pengadilan, kegiatan usahanya sedang tidak dihentikan dan/atau tidak sedang menjalani sanksi pidana yang dinyatakan secara tertulis</t>
  </si>
  <si>
    <t>6. Mampu bekerja sesuai dengan SLA yang disepakati</t>
  </si>
  <si>
    <t>Vendor Terpilih</t>
  </si>
  <si>
    <t>Nomor Induk Berusaha (NIB)</t>
  </si>
  <si>
    <t>Nomor NPWP</t>
  </si>
  <si>
    <t>Company Profil Vendor</t>
  </si>
  <si>
    <t>1.4 Design Work Completed to date (or) required/Pekerjaan Dinyatakan Selesai</t>
  </si>
  <si>
    <t>2. Invoice dilakukan setelah pekerjaan selesai dan dilampiri dengan Berita Acara Serah Terima yang disampaikan saat penagihan</t>
  </si>
  <si>
    <t>3. Teknis Pekerjaan mengacu pada SPK</t>
  </si>
  <si>
    <t xml:space="preserve">4. Customer, PT Pos ataupun Vendor tidak diperkenankan untuk membatalkan SPK ini secara sepihak </t>
  </si>
  <si>
    <t>1.5 Timeline of Project/Waktu Pelaksanaan Proyek</t>
  </si>
  <si>
    <t>Start Work Date/Tanggal Mulai :</t>
  </si>
  <si>
    <t>End Work Date/Tanggal Akhir :</t>
  </si>
  <si>
    <t>1.6 Approval Requirements/Persyaratan Persetujuan :</t>
  </si>
  <si>
    <t>Armada angkut harus layak jalan  sesuai dengan kondisi muatan dan memenuhi peraturan keselamatan transportasi serta dokumen lengkap (STNK, Dok. KIR)</t>
  </si>
  <si>
    <t>Driver telah memiliki KTP, SIM B, No HP dll</t>
  </si>
  <si>
    <t>Driver dalam keadaan sehat yang dibuktikan oleh hasil medical checkup dll</t>
  </si>
  <si>
    <t xml:space="preserve">Truck harus dilengkapi dengan lashing/sling belt dan peralatan pendukung lainnya agar barang aman dan tidak basah                                                                                                                                                                                                                                                                                                
</t>
  </si>
  <si>
    <t>Melaksanakan ketentuan safety K3</t>
  </si>
  <si>
    <t>Melakukan pengawasan atas pemuatan dan pembongkaran untuk mengurangi risiko kerusakan</t>
  </si>
  <si>
    <t>Menginformasikan progres dan mendokumentasikannya, bertanggung jawab atas keamanan dan risiko ganti rugi kerusakan atas kiriman tersebut</t>
  </si>
  <si>
    <t>1.7 Additional Requirements and/or Conditions/Persyaratan dan/atau Ketentuan Tambahan :</t>
  </si>
  <si>
    <t>Biaya Tenaga Kerja Bongkar Muat menjadi beban vendor angkutan, baik saat loading di origin maupun unloading di destination
Biaya angkutan sudah termasuk BBM, Retribusi, TOLL, Asuransi dan Penyeberangan.</t>
  </si>
  <si>
    <t xml:space="preserve"> Kiriman sudah dalam kondisi di packing sesuai standar dan sampai di tujuan paling lambat sore hari atau tidak melebihi H+0 (sampai pada hari yang sama)</t>
  </si>
  <si>
    <t>Koli</t>
  </si>
  <si>
    <t>Batam</t>
  </si>
  <si>
    <t>Kiriman Barang Pindahan</t>
  </si>
  <si>
    <t>5. Jatuh Tempo Customer maksimal 30 Hari setelah tagihan diterima lengkap dari Bank Indonesia Perwakilan Kepuluan Riau</t>
  </si>
  <si>
    <t xml:space="preserve">1. Seluruh muatan sudah diantar ke lokasi Tujuan yang telah ditetapkan
                                                                                                                       </t>
  </si>
  <si>
    <t>Barang Pindahan</t>
  </si>
  <si>
    <t>CV EMY RIZKY JAYA</t>
  </si>
  <si>
    <t>6. Jatuh Tempo Vendor maksimal 1 bulan setelah tagihan diterima lengkap dari CV EMY RIZKY JAYA</t>
  </si>
  <si>
    <t>9120401921208</t>
  </si>
  <si>
    <t>92.813.868.4-215.000</t>
  </si>
  <si>
    <t>Darat</t>
  </si>
  <si>
    <t>Barang Pindah</t>
  </si>
  <si>
    <t>Padang</t>
  </si>
  <si>
    <t>Uraian Barang</t>
  </si>
  <si>
    <t>Jumlah Satuan</t>
  </si>
  <si>
    <t>Jenis Satuan</t>
  </si>
  <si>
    <t>BUKU</t>
  </si>
  <si>
    <t>MUKENA</t>
  </si>
  <si>
    <t>JEMURAN</t>
  </si>
  <si>
    <t>SEPATU</t>
  </si>
  <si>
    <t>TV</t>
  </si>
  <si>
    <t>KULKAS</t>
  </si>
  <si>
    <t>General Cargo : Cargo Darat dan Laut</t>
  </si>
  <si>
    <t>ATK</t>
  </si>
  <si>
    <t xml:space="preserve">MEJA TAMU </t>
  </si>
  <si>
    <t>PCE - Piece</t>
  </si>
  <si>
    <t xml:space="preserve">KURSI TAMU </t>
  </si>
  <si>
    <t xml:space="preserve">BINGKAI FOTO </t>
  </si>
  <si>
    <t xml:space="preserve">LEMARI </t>
  </si>
  <si>
    <t>MEJA KERJA</t>
  </si>
  <si>
    <t>MESIN JAHIT</t>
  </si>
  <si>
    <t xml:space="preserve">DISPENSER </t>
  </si>
  <si>
    <t>KARPET</t>
  </si>
  <si>
    <t>CPU</t>
  </si>
  <si>
    <t xml:space="preserve">KIPAS ANGIN </t>
  </si>
  <si>
    <t xml:space="preserve">LACI MEJA </t>
  </si>
  <si>
    <t xml:space="preserve">TAS </t>
  </si>
  <si>
    <t xml:space="preserve">PANCI </t>
  </si>
  <si>
    <t>JUICER</t>
  </si>
  <si>
    <t>MIXER</t>
  </si>
  <si>
    <t xml:space="preserve">MICROWAVE </t>
  </si>
  <si>
    <t xml:space="preserve">PERALATAN DAPUR </t>
  </si>
  <si>
    <t>COFFEE SET</t>
  </si>
  <si>
    <t>SARUNG</t>
  </si>
  <si>
    <t>GORDEN</t>
  </si>
  <si>
    <t>KOMPOR GAS</t>
  </si>
  <si>
    <t xml:space="preserve">HANGER </t>
  </si>
  <si>
    <t>TOPLES</t>
  </si>
  <si>
    <t>GELAS</t>
  </si>
  <si>
    <t>PERALATAN DAPUR PLASTIK</t>
  </si>
  <si>
    <t>KAIN SARUNG</t>
  </si>
  <si>
    <t>SELIMUT</t>
  </si>
  <si>
    <t xml:space="preserve">VACUM CLEANER </t>
  </si>
  <si>
    <t>TV WALL BRACKET</t>
  </si>
  <si>
    <t>PAKAIAN</t>
  </si>
  <si>
    <t>Roll</t>
  </si>
  <si>
    <t>Pcs</t>
  </si>
  <si>
    <t>Single Drop</t>
  </si>
  <si>
    <t>14 Hari</t>
  </si>
  <si>
    <t>Nama Barang</t>
  </si>
  <si>
    <t>BANK SYARIAH NASIONAL BATAM</t>
  </si>
  <si>
    <t>P60 X L50 X T50 cm</t>
  </si>
  <si>
    <t>Jl. Cemara Papua No. 21, Bukit Indah Sukajadi, Batam</t>
  </si>
  <si>
    <t xml:space="preserve">RIKY JULIADI/AM PENJUALAN/ </t>
  </si>
  <si>
    <t>Jl. Sunan Bonang No.25, Desa Tambaksari Kidul RT 1/RW 4, Kembaran, Banyumas, Jawa Tengah 53182</t>
  </si>
  <si>
    <t>16 September S/D 31 September 2026</t>
  </si>
  <si>
    <t>Banyumas</t>
  </si>
  <si>
    <t>ID PROYEK : CB2940026022 KIRIMAN BARNAG PINDAH TUJUAN PURWOKERTO</t>
  </si>
  <si>
    <t>CB2940026023 Pengiriman Barang Pindah Tujuan Tangerang</t>
  </si>
  <si>
    <t>Armada</t>
  </si>
  <si>
    <t>Qty</t>
  </si>
  <si>
    <t>P (cm)</t>
  </si>
  <si>
    <t>L (cm)</t>
  </si>
  <si>
    <t>T (cm)</t>
  </si>
  <si>
    <t>Berat/Unit (kg)</t>
  </si>
  <si>
    <t>Total Berat (kg)</t>
  </si>
  <si>
    <t>Volume/Unit (m³)</t>
  </si>
  <si>
    <t>Total Volume (m³)</t>
  </si>
  <si>
    <t>CDD Box 1</t>
  </si>
  <si>
    <t>Kardus pakaian besar</t>
  </si>
  <si>
    <t>Kardus buku/arsip</t>
  </si>
  <si>
    <t>Kardus perlengkapan dapur</t>
  </si>
  <si>
    <t>Lemari pakaian</t>
  </si>
  <si>
    <t>Kasur queen</t>
  </si>
  <si>
    <t>Bed base queen</t>
  </si>
  <si>
    <t>Sofa 3 seater</t>
  </si>
  <si>
    <t>Sofa 1 seater</t>
  </si>
  <si>
    <t>Meja makan</t>
  </si>
  <si>
    <t>Kursi makan</t>
  </si>
  <si>
    <t>Kulkas 2 pintu</t>
  </si>
  <si>
    <t>Mesin cuci</t>
  </si>
  <si>
    <t>TV 55"</t>
  </si>
  <si>
    <t>Rak TV</t>
  </si>
  <si>
    <t>Boks plastik/peralatan rumah</t>
  </si>
  <si>
    <t>Kasur single</t>
  </si>
  <si>
    <t>Kursi kerja</t>
  </si>
  <si>
    <t>Koper besar</t>
  </si>
  <si>
    <t>Karpet gulung</t>
  </si>
  <si>
    <t>CDD Box 2</t>
  </si>
  <si>
    <t>Kardus perlengkapan rumah</t>
  </si>
  <si>
    <t>Kardus campuran</t>
  </si>
  <si>
    <t>Kabinet/rak serbaguna</t>
  </si>
  <si>
    <t>Kasur king</t>
  </si>
  <si>
    <t>Bed base king</t>
  </si>
  <si>
    <t>Meja kerja</t>
  </si>
  <si>
    <t>Rak buku</t>
  </si>
  <si>
    <t>Sepeda</t>
  </si>
  <si>
    <t>AC split</t>
  </si>
  <si>
    <t>Microwave/oven</t>
  </si>
  <si>
    <t>Kipas berdiri</t>
  </si>
  <si>
    <t>Laci plastik/rak kecil</t>
  </si>
  <si>
    <t>Koper sedang</t>
  </si>
  <si>
    <t>Meja kecil/nakas</t>
  </si>
  <si>
    <t>Cermin besar</t>
  </si>
  <si>
    <t>Standing hanger/rak pakaian</t>
  </si>
  <si>
    <t>Tangerang</t>
  </si>
  <si>
    <t>Batam, 17 September 2026</t>
  </si>
  <si>
    <t>Riky Juliadi</t>
  </si>
  <si>
    <t>Nippos : 989453856</t>
  </si>
  <si>
    <t>TEMPO</t>
  </si>
  <si>
    <t xml:space="preserve">CB2940026023 | Pengiriman Barang Pindah Tujuan Tangerang </t>
  </si>
  <si>
    <t>Lukmanur Hakim</t>
  </si>
  <si>
    <t>0811-126-263</t>
  </si>
  <si>
    <t>mail@thetempogroup.com</t>
  </si>
  <si>
    <t>BATAM - Tangerang</t>
  </si>
  <si>
    <t>Permintaan Customer : Sewa 2 Mobil Angkutan
Operasional pengiriman barang pindah Bapak Lukmanur ini dijalankan dengan skema Door-to-Door menggunakan moda transportasi darat dan penyeberangan (RoRo) dengan sistem multi-drop. Tahap awal dimulai dengan penjemputan (pickup) seluruh muatan di Rumah Bapak Lukmanur di Sukajadi Batam. Barang kemudian dimobilisasi menuju Kantor Pos Batam untuk melalui proses standarisasi keamanan, meliputi pembuatan packing bubble wrap dan wrapping platic, wrapping menyeluruh, serta validasi final terhadap Packing List untuk memastikan kesesuaian data.
Fase krusial selanjutnya adalah penyelesaian administrasi kepabeanan (PPFTZ01) sesuai regulasi Free Trade Zone. Proses dimulai dengan input data manifest melalui sistem Ion Beta, yang dilanjutkan dengan sesi wawancara pemilik barang di Kantor Bea Cukai Batu Ampar. Setelah itu, dilakukan pemeriksaan fisik barang secara mendetail di Tempat Penimbunan Sementara (TPS) Pos Batam. Apabila hasil pemeriksaan fisik dan dokumen dinyatakan sesuai dalam Berita Acara, Bea Cukai akan menerbitkan Surat Persetujuan Pengeluaran Barang (SPPB). Sebagai langkah pengamanan terakhir di Batam, truk akan disegel (seal) dan ditempel stiker pengaman resmi oleh petugas Bea Cukai sebelum meninggalkan area TPS.
Pada tahap mobilisasi, armada bergerak menuju Pelabuhan Punggur. Di lokasi ini, segel dan stiker pengaman akan dilepas oleh petugas Bea Cukai setempat sebagai prosedur standar sebelum truk menyeberang menuju Pelabuhan Tanjung Buton. Perjalanan darat kemudian dilanjutkan menuju Tangerang. setibanya di Banyumas, kiriman dilakukan pengantaran dan bongkar kiriman di rumah Bapak Lukmanur Jl. Merak Raya No 173 RT 02 RW 012 Kel. Cibodasari Kecamatan Cibodas, Perumnas 1, Kota Tangerang. 15138</t>
  </si>
  <si>
    <t>2587 Kg</t>
  </si>
  <si>
    <t>122 Koli</t>
  </si>
  <si>
    <t>CDD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</si>
</sst>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43" formatCode="_-* #,##0.00_-;\-* #,##0.00_-;_-* &quot;-&quot;??_-;_-@_-"/>
    <numFmt numFmtId="164" formatCode="_(* #,##0.00_);_(* \(#,##0.00\);_(* &quot;-&quot;??_);_(@_)"/>
    <numFmt numFmtId="165" formatCode="_(* #,##0_);_(* \(#,##0\);_(* &quot;-&quot;_);_(@_)"/>
    <numFmt numFmtId="166" formatCode="_(&quot;Rp&quot;* #,##0_);_(&quot;Rp&quot;* \(#,##0\);_(&quot;Rp&quot;* &quot;-&quot;_);_(@_)"/>
    <numFmt numFmtId="167" formatCode="_(* #,##0_);_(* \(#,##0\);_(* \-_);_(@_)"/>
    <numFmt numFmtId="168" formatCode="_-[$Rp-421]* #,##0_ ;_-[$Rp-421]* \-#,##0\ ;_-[$Rp-421]* &quot;-&quot;_ ;_-@_ "/>
    <numFmt numFmtId="169" formatCode="[$-409]d\-mmm\-yyyy;@"/>
    <numFmt numFmtId="170" formatCode="_(* #,##0_);_(* \(#,##0\);_(* &quot;-&quot;??_);_(@_)"/>
    <numFmt numFmtId="171" formatCode="#,000_);[Red]\(#,000\)"/>
    <numFmt numFmtId="172" formatCode="_([$Rp-421]* #,##0_);_([$Rp-421]* \(#,##0\);_([$Rp-421]* &quot;-&quot;??_);_(@_)"/>
    <numFmt numFmtId="173" formatCode="_-&quot;£&quot;* #,##0.00_-;\-&quot;£&quot;* #,##0.00_-;_-&quot;£&quot;* &quot;-&quot;??_-;_-@_-"/>
    <numFmt numFmtId="174" formatCode="_(&quot;Rp&quot;* #,##0_);_(&quot;Rp&quot;* \(#,##0\);_(&quot;Rp&quot;* \-_);_(@_)"/>
    <numFmt numFmtId="175" formatCode="0.0%"/>
    <numFmt numFmtId="176" formatCode="_(&quot;Rp&quot;* #,##0.00_);_(&quot;Rp&quot;* \(#,##0.00\);_(&quot;Rp&quot;* &quot;-&quot;_);_(@_)"/>
    <numFmt numFmtId="177" formatCode="_-* #,##0_-;\-* #,##0_-;_-* &quot;-&quot;??_-;_-@_-"/>
    <numFmt numFmtId="178" formatCode="_(* #,##0_);_(* \(#,##0\);_(* &quot;-&quot;?_);_(@_)"/>
    <numFmt numFmtId="179" formatCode="0.000"/>
  </numFmts>
  <fonts count="70">
    <font>
      <sz val="11"/>
      <color theme="1"/>
      <name val="Calibri"/>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1"/>
      <color rgb="FFFF0000"/>
      <name val="Calibri"/>
      <family val="2"/>
      <scheme val="minor"/>
    </font>
    <font>
      <sz val="10"/>
      <color theme="1"/>
      <name val="Calibri"/>
      <family val="2"/>
      <scheme val="minor"/>
    </font>
    <font>
      <sz val="10"/>
      <name val="Calibri"/>
      <family val="2"/>
      <scheme val="minor"/>
    </font>
    <font>
      <b/>
      <sz val="10"/>
      <name val="Calibri"/>
      <family val="2"/>
      <scheme val="minor"/>
    </font>
    <font>
      <b/>
      <sz val="10"/>
      <color theme="1"/>
      <name val="Calibri"/>
      <family val="2"/>
      <scheme val="minor"/>
    </font>
    <font>
      <sz val="10"/>
      <color theme="1"/>
      <name val="Calibri"/>
      <family val="2"/>
    </font>
    <font>
      <sz val="11"/>
      <color theme="1"/>
      <name val="Calibri"/>
      <family val="2"/>
      <scheme val="minor"/>
    </font>
    <font>
      <b/>
      <sz val="11"/>
      <color theme="1"/>
      <name val="Calibri"/>
      <family val="2"/>
      <scheme val="minor"/>
    </font>
    <font>
      <sz val="11"/>
      <color theme="1"/>
      <name val="Arial"/>
      <family val="2"/>
    </font>
    <font>
      <b/>
      <sz val="12"/>
      <color theme="1"/>
      <name val="Calibri"/>
      <family val="2"/>
      <scheme val="minor"/>
    </font>
    <font>
      <b/>
      <sz val="14"/>
      <color theme="1"/>
      <name val="Calibri"/>
      <family val="2"/>
      <scheme val="minor"/>
    </font>
    <font>
      <sz val="8"/>
      <color theme="1"/>
      <name val="Calibri"/>
      <family val="2"/>
      <scheme val="minor"/>
    </font>
    <font>
      <b/>
      <u/>
      <sz val="11"/>
      <color theme="1"/>
      <name val="Calibri"/>
      <family val="2"/>
      <scheme val="minor"/>
    </font>
    <font>
      <b/>
      <sz val="11"/>
      <color rgb="FF000000"/>
      <name val="Calibri"/>
      <family val="2"/>
    </font>
    <font>
      <b/>
      <sz val="10"/>
      <name val="Arial"/>
      <family val="2"/>
    </font>
    <font>
      <sz val="10"/>
      <name val="Arial"/>
      <family val="2"/>
    </font>
    <font>
      <sz val="11"/>
      <color rgb="FFFF0000"/>
      <name val="Calibri"/>
      <family val="2"/>
      <scheme val="minor"/>
    </font>
    <font>
      <sz val="11"/>
      <color theme="0"/>
      <name val="Calibri"/>
      <family val="2"/>
      <scheme val="minor"/>
    </font>
    <font>
      <sz val="11"/>
      <color rgb="FF000000"/>
      <name val="Calibri"/>
      <family val="2"/>
      <scheme val="minor"/>
    </font>
    <font>
      <sz val="11"/>
      <color rgb="FF000000"/>
      <name val="Calibri"/>
      <family val="2"/>
    </font>
    <font>
      <sz val="12"/>
      <color rgb="FF000000"/>
      <name val="Calibri"/>
      <family val="2"/>
    </font>
    <font>
      <sz val="11"/>
      <name val="Arial"/>
      <family val="2"/>
    </font>
    <font>
      <sz val="11"/>
      <name val="Times New Roman"/>
      <family val="1"/>
    </font>
    <font>
      <sz val="11"/>
      <color theme="1"/>
      <name val="Arial"/>
      <family val="2"/>
    </font>
    <font>
      <sz val="10"/>
      <color theme="1"/>
      <name val="Arial"/>
      <family val="2"/>
    </font>
    <font>
      <sz val="11"/>
      <color indexed="8"/>
      <name val="Calibri"/>
      <family val="2"/>
      <scheme val="minor"/>
    </font>
    <font>
      <sz val="10"/>
      <color rgb="FF000000"/>
      <name val="Calibri"/>
      <family val="2"/>
      <scheme val="minor"/>
    </font>
    <font>
      <b/>
      <sz val="10"/>
      <color rgb="FF000000"/>
      <name val="Calibri"/>
      <family val="2"/>
      <scheme val="minor"/>
    </font>
    <font>
      <b/>
      <sz val="10"/>
      <color rgb="FF3366FF"/>
      <name val="Calibri"/>
      <family val="2"/>
      <scheme val="minor"/>
    </font>
    <font>
      <sz val="8"/>
      <color rgb="FFFF0000"/>
      <name val="Calibri"/>
      <family val="2"/>
      <scheme val="minor"/>
    </font>
    <font>
      <sz val="12"/>
      <color theme="1"/>
      <name val="Arial Narrow"/>
      <family val="2"/>
    </font>
    <font>
      <b/>
      <sz val="9"/>
      <color theme="1"/>
      <name val="Calibri"/>
      <family val="2"/>
      <scheme val="minor"/>
    </font>
    <font>
      <b/>
      <sz val="8"/>
      <color theme="1"/>
      <name val="Calibri"/>
      <family val="2"/>
      <scheme val="minor"/>
    </font>
    <font>
      <b/>
      <sz val="8"/>
      <color rgb="FFFF0000"/>
      <name val="Calibri"/>
      <family val="2"/>
    </font>
    <font>
      <b/>
      <sz val="8"/>
      <color rgb="FFFF0000"/>
      <name val="Calibri"/>
      <family val="2"/>
      <scheme val="minor"/>
    </font>
    <font>
      <b/>
      <sz val="9"/>
      <name val="Calibri"/>
      <family val="2"/>
      <scheme val="minor"/>
    </font>
    <font>
      <sz val="9"/>
      <name val="Calibri"/>
      <family val="2"/>
      <scheme val="minor"/>
    </font>
    <font>
      <b/>
      <sz val="9"/>
      <name val="Calibri"/>
      <family val="2"/>
    </font>
    <font>
      <b/>
      <u/>
      <sz val="11"/>
      <name val="Calibri"/>
      <family val="2"/>
      <scheme val="minor"/>
    </font>
    <font>
      <sz val="9"/>
      <color theme="1"/>
      <name val="Calibri"/>
      <family val="2"/>
      <scheme val="minor"/>
    </font>
    <font>
      <sz val="11"/>
      <color theme="1"/>
      <name val="Trebuchet MS"/>
      <family val="2"/>
    </font>
    <font>
      <b/>
      <sz val="8"/>
      <name val="Calibri"/>
      <family val="2"/>
      <scheme val="minor"/>
    </font>
    <font>
      <b/>
      <sz val="8"/>
      <color rgb="FF000000"/>
      <name val="Calibri"/>
      <family val="2"/>
      <scheme val="minor"/>
    </font>
    <font>
      <b/>
      <sz val="9"/>
      <color rgb="FF000000"/>
      <name val="Calibri"/>
      <family val="2"/>
      <scheme val="minor"/>
    </font>
    <font>
      <b/>
      <sz val="12"/>
      <name val="Calibri"/>
      <family val="2"/>
      <scheme val="minor"/>
    </font>
    <font>
      <b/>
      <sz val="14"/>
      <name val="Calibri"/>
      <family val="2"/>
      <scheme val="minor"/>
    </font>
    <font>
      <sz val="12"/>
      <color theme="1"/>
      <name val="Calibri"/>
      <family val="2"/>
      <scheme val="minor"/>
    </font>
    <font>
      <u/>
      <sz val="11"/>
      <color rgb="FF0000FF"/>
      <name val="Calibri"/>
      <family val="2"/>
      <scheme val="minor"/>
    </font>
    <font>
      <sz val="12"/>
      <name val="Times New Roman"/>
      <family val="1"/>
    </font>
    <font>
      <sz val="11"/>
      <color indexed="8"/>
      <name val="Calibri"/>
      <family val="2"/>
    </font>
    <font>
      <sz val="11"/>
      <color rgb="FFFFFFFF"/>
      <name val="Calibri"/>
      <family val="2"/>
    </font>
    <font>
      <b/>
      <sz val="9"/>
      <name val="Tahoma"/>
      <family val="2"/>
    </font>
    <font>
      <b/>
      <sz val="9"/>
      <name val="Times New Roman"/>
      <family val="1"/>
    </font>
    <font>
      <sz val="9"/>
      <name val="Times New Roman"/>
      <family val="1"/>
    </font>
    <font>
      <b/>
      <sz val="11"/>
      <color rgb="FFFFFFFF"/>
      <name val="Carlito"/>
    </font>
    <font>
      <sz val="11"/>
      <color theme="1"/>
      <name val="Carlito"/>
    </font>
  </fonts>
  <fills count="1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FFFF"/>
        <bgColor rgb="FFEBF1DE"/>
      </patternFill>
    </fill>
    <fill>
      <patternFill patternType="solid">
        <fgColor theme="0"/>
        <bgColor rgb="FFEBF1DE"/>
      </patternFill>
    </fill>
    <fill>
      <patternFill patternType="solid">
        <fgColor rgb="FF4F81BD"/>
        <bgColor rgb="FF808080"/>
      </patternFill>
    </fill>
    <fill>
      <patternFill patternType="solid">
        <fgColor rgb="FF4472C4"/>
      </patternFill>
    </fill>
    <fill>
      <patternFill patternType="solid">
        <fgColor rgb="FFF7FBFF"/>
      </patternFill>
    </fill>
    <fill>
      <patternFill patternType="solid">
        <fgColor rgb="FFF9F9F9"/>
      </patternFill>
    </fill>
  </fills>
  <borders count="6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right style="medium">
        <color auto="1"/>
      </right>
      <top/>
      <bottom/>
      <diagonal/>
    </border>
    <border>
      <left style="medium">
        <color auto="1"/>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medium">
        <color auto="1"/>
      </right>
      <top/>
      <bottom style="thin">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style="medium">
        <color auto="1"/>
      </top>
      <bottom style="medium">
        <color auto="1"/>
      </bottom>
      <diagonal/>
    </border>
    <border>
      <left/>
      <right style="thin">
        <color auto="1"/>
      </right>
      <top/>
      <bottom style="medium">
        <color auto="1"/>
      </bottom>
      <diagonal/>
    </border>
    <border>
      <left/>
      <right/>
      <top style="medium">
        <color auto="1"/>
      </top>
      <bottom style="medium">
        <color auto="1"/>
      </bottom>
      <diagonal/>
    </border>
    <border>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ck">
        <color auto="1"/>
      </left>
      <right style="thick">
        <color auto="1"/>
      </right>
      <top style="thick">
        <color auto="1"/>
      </top>
      <bottom style="thick">
        <color auto="1"/>
      </bottom>
      <diagonal/>
    </border>
    <border>
      <left/>
      <right style="thin">
        <color auto="1"/>
      </right>
      <top/>
      <bottom/>
      <diagonal/>
    </border>
  </borders>
  <cellStyleXfs count="87">
    <xf numFmtId="0" fontId="0" fillId="0" borderId="0"/>
    <xf numFmtId="164" fontId="9" fillId="0" borderId="0" applyFont="0" applyFill="0" applyBorder="0" applyAlignment="0" applyProtection="0"/>
    <xf numFmtId="9" fontId="9" fillId="0" borderId="0" applyFont="0" applyFill="0" applyBorder="0" applyAlignment="0" applyProtection="0"/>
    <xf numFmtId="165" fontId="9" fillId="0" borderId="0" applyFont="0" applyFill="0" applyBorder="0" applyAlignment="0" applyProtection="0"/>
    <xf numFmtId="0" fontId="61" fillId="0" borderId="0" applyNumberFormat="0" applyFill="0" applyBorder="0" applyAlignment="0" applyProtection="0">
      <alignment vertical="center"/>
    </xf>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165" fontId="28"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41"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62" fillId="0" borderId="0" applyFont="0" applyFill="0" applyBorder="0" applyAlignment="0" applyProtection="0">
      <alignment vertical="center"/>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2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6" fontId="9" fillId="0" borderId="0" applyFont="0" applyFill="0" applyBorder="0" applyAlignment="0" applyProtection="0"/>
    <xf numFmtId="167" fontId="63" fillId="0" borderId="0"/>
    <xf numFmtId="0" fontId="2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8" fillId="0" borderId="0"/>
    <xf numFmtId="0" fontId="9" fillId="0" borderId="0"/>
    <xf numFmtId="0" fontId="29" fillId="0" borderId="0"/>
    <xf numFmtId="0" fontId="29" fillId="0" borderId="0"/>
    <xf numFmtId="0" fontId="62" fillId="0" borderId="0">
      <alignment vertical="center"/>
    </xf>
    <xf numFmtId="0" fontId="62" fillId="0" borderId="0">
      <alignment vertical="center"/>
    </xf>
    <xf numFmtId="0" fontId="9" fillId="0" borderId="0"/>
    <xf numFmtId="0" fontId="29" fillId="0" borderId="0"/>
    <xf numFmtId="0" fontId="9" fillId="0" borderId="0"/>
    <xf numFmtId="0" fontId="62" fillId="0" borderId="0">
      <alignment vertical="center"/>
    </xf>
    <xf numFmtId="0" fontId="9" fillId="0" borderId="0"/>
    <xf numFmtId="0" fontId="9" fillId="0" borderId="0"/>
    <xf numFmtId="0" fontId="60" fillId="0" borderId="0"/>
    <xf numFmtId="0" fontId="62" fillId="0" borderId="0">
      <alignment vertical="center"/>
    </xf>
    <xf numFmtId="0" fontId="9" fillId="0" borderId="0"/>
    <xf numFmtId="0" fontId="62" fillId="0" borderId="0">
      <alignment vertical="center"/>
    </xf>
    <xf numFmtId="0" fontId="62" fillId="0" borderId="0">
      <alignment vertical="center"/>
    </xf>
    <xf numFmtId="0" fontId="62" fillId="0" borderId="0">
      <alignment vertical="center"/>
    </xf>
    <xf numFmtId="0" fontId="9" fillId="0" borderId="0"/>
    <xf numFmtId="0" fontId="2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64" fillId="7" borderId="0" applyBorder="0" applyProtection="0"/>
    <xf numFmtId="0" fontId="5" fillId="0" borderId="0"/>
    <xf numFmtId="0" fontId="3" fillId="0" borderId="0"/>
    <xf numFmtId="43" fontId="3" fillId="0" borderId="0" applyFont="0" applyFill="0" applyBorder="0" applyAlignment="0" applyProtection="0"/>
    <xf numFmtId="0" fontId="2" fillId="0" borderId="0"/>
    <xf numFmtId="43" fontId="2" fillId="0" borderId="0" applyFont="0" applyFill="0" applyBorder="0" applyAlignment="0" applyProtection="0"/>
  </cellStyleXfs>
  <cellXfs count="570">
    <xf numFmtId="0" fontId="0" fillId="0" borderId="0" xfId="0"/>
    <xf numFmtId="0" fontId="9" fillId="0" borderId="0" xfId="0" applyFont="1"/>
    <xf numFmtId="0" fontId="13" fillId="2" borderId="12" xfId="0" applyFont="1" applyFill="1" applyBorder="1" applyAlignment="1">
      <alignment vertical="center"/>
    </xf>
    <xf numFmtId="0" fontId="14" fillId="2" borderId="13" xfId="0" applyFont="1" applyFill="1" applyBorder="1" applyAlignment="1">
      <alignment vertical="center"/>
    </xf>
    <xf numFmtId="0" fontId="11" fillId="0" borderId="14" xfId="0" applyFont="1" applyBorder="1" applyAlignment="1">
      <alignment vertical="center"/>
    </xf>
    <xf numFmtId="0" fontId="15" fillId="0" borderId="13" xfId="0" applyFont="1" applyBorder="1" applyAlignment="1">
      <alignment horizontal="left" vertical="top" wrapText="1"/>
    </xf>
    <xf numFmtId="0" fontId="11" fillId="0" borderId="12" xfId="0" applyFont="1" applyBorder="1" applyAlignment="1">
      <alignment horizontal="left" vertical="center"/>
    </xf>
    <xf numFmtId="0" fontId="11" fillId="0" borderId="0" xfId="0" applyFont="1" applyAlignment="1">
      <alignment horizontal="center" vertical="center"/>
    </xf>
    <xf numFmtId="0" fontId="11" fillId="0" borderId="17" xfId="0" applyFont="1" applyBorder="1" applyAlignment="1">
      <alignment vertical="top" wrapText="1"/>
    </xf>
    <xf numFmtId="0" fontId="18" fillId="0" borderId="13" xfId="0" applyFont="1" applyBorder="1" applyAlignment="1">
      <alignment horizontal="center" vertical="center" wrapText="1"/>
    </xf>
    <xf numFmtId="0" fontId="18" fillId="0" borderId="18" xfId="0" applyFont="1" applyBorder="1" applyAlignment="1">
      <alignment horizontal="center" vertical="center" wrapText="1"/>
    </xf>
    <xf numFmtId="0" fontId="15" fillId="0" borderId="8" xfId="0" applyFont="1" applyBorder="1" applyAlignment="1">
      <alignment horizontal="left" vertical="top" wrapText="1"/>
    </xf>
    <xf numFmtId="0" fontId="18" fillId="0" borderId="19" xfId="0" applyFont="1" applyBorder="1" applyAlignment="1">
      <alignment horizontal="center" vertical="top" wrapText="1"/>
    </xf>
    <xf numFmtId="0" fontId="15" fillId="0" borderId="18" xfId="0" applyFont="1" applyBorder="1" applyAlignment="1">
      <alignment horizontal="justify" vertical="top" wrapText="1"/>
    </xf>
    <xf numFmtId="0" fontId="15" fillId="0" borderId="13" xfId="0" applyFont="1" applyBorder="1" applyAlignment="1">
      <alignment horizontal="justify" vertical="top" wrapText="1"/>
    </xf>
    <xf numFmtId="0" fontId="15" fillId="0" borderId="19" xfId="0" applyFont="1" applyBorder="1" applyAlignment="1">
      <alignment horizontal="center" vertical="center" wrapText="1"/>
    </xf>
    <xf numFmtId="0" fontId="15" fillId="0" borderId="27" xfId="0" applyFont="1" applyBorder="1" applyAlignment="1">
      <alignment horizontal="left" vertical="top" wrapText="1"/>
    </xf>
    <xf numFmtId="0" fontId="15" fillId="0" borderId="28" xfId="0" applyFont="1" applyBorder="1" applyAlignment="1">
      <alignment horizontal="left" vertical="top" wrapText="1"/>
    </xf>
    <xf numFmtId="0" fontId="15" fillId="0" borderId="29" xfId="0" applyFont="1" applyBorder="1" applyAlignment="1">
      <alignment horizontal="center" vertical="center" wrapText="1"/>
    </xf>
    <xf numFmtId="0" fontId="11" fillId="0" borderId="20" xfId="0" applyFont="1" applyBorder="1" applyAlignment="1">
      <alignment vertical="top"/>
    </xf>
    <xf numFmtId="0" fontId="11" fillId="0" borderId="20" xfId="0" applyFont="1" applyBorder="1" applyAlignment="1">
      <alignment vertical="top" wrapText="1"/>
    </xf>
    <xf numFmtId="0" fontId="15" fillId="0" borderId="13" xfId="0" applyFont="1" applyBorder="1" applyAlignment="1">
      <alignment vertical="top"/>
    </xf>
    <xf numFmtId="0" fontId="15" fillId="0" borderId="15" xfId="0" applyFont="1" applyBorder="1" applyAlignment="1">
      <alignment horizontal="center" vertical="top"/>
    </xf>
    <xf numFmtId="0" fontId="11" fillId="0" borderId="20" xfId="0" applyFont="1" applyBorder="1" applyAlignment="1">
      <alignment horizontal="left" vertical="center"/>
    </xf>
    <xf numFmtId="0" fontId="11" fillId="0" borderId="13" xfId="0" applyFont="1" applyBorder="1" applyAlignment="1">
      <alignment horizontal="center" vertical="center"/>
    </xf>
    <xf numFmtId="0" fontId="15" fillId="0" borderId="13" xfId="0" applyFont="1" applyBorder="1" applyAlignment="1">
      <alignment horizontal="center" vertical="center" wrapText="1"/>
    </xf>
    <xf numFmtId="0" fontId="11" fillId="0" borderId="12" xfId="0" applyFont="1" applyBorder="1" applyAlignment="1">
      <alignment horizontal="left" vertical="center" wrapText="1"/>
    </xf>
    <xf numFmtId="0" fontId="9" fillId="0" borderId="13" xfId="0" applyFont="1" applyBorder="1" applyAlignment="1">
      <alignment horizontal="center" vertical="center"/>
    </xf>
    <xf numFmtId="0" fontId="15" fillId="0" borderId="10" xfId="0" applyFont="1" applyBorder="1" applyAlignment="1">
      <alignment horizontal="center" vertical="center"/>
    </xf>
    <xf numFmtId="0" fontId="20" fillId="0" borderId="13" xfId="0" applyFont="1" applyBorder="1"/>
    <xf numFmtId="170" fontId="20" fillId="0" borderId="13" xfId="1" applyNumberFormat="1" applyFont="1" applyFill="1" applyBorder="1" applyAlignment="1"/>
    <xf numFmtId="0" fontId="9" fillId="0" borderId="0" xfId="0" applyFont="1" applyAlignment="1">
      <alignment vertical="center"/>
    </xf>
    <xf numFmtId="0" fontId="9" fillId="0" borderId="0" xfId="0" applyFont="1" applyAlignment="1">
      <alignment horizontal="center"/>
    </xf>
    <xf numFmtId="0" fontId="12" fillId="0" borderId="0" xfId="0" applyFont="1" applyAlignment="1">
      <alignment horizontal="center"/>
    </xf>
    <xf numFmtId="171" fontId="21" fillId="0" borderId="0" xfId="0" applyNumberFormat="1" applyFont="1" applyAlignment="1">
      <alignment horizontal="right"/>
    </xf>
    <xf numFmtId="0" fontId="22" fillId="0" borderId="13" xfId="0" applyFont="1" applyBorder="1" applyAlignment="1">
      <alignment horizontal="center" vertical="top" wrapText="1"/>
    </xf>
    <xf numFmtId="0" fontId="20" fillId="0" borderId="0" xfId="0" applyFont="1"/>
    <xf numFmtId="0" fontId="9" fillId="0" borderId="0" xfId="0" applyFont="1" applyAlignment="1">
      <alignment wrapText="1"/>
    </xf>
    <xf numFmtId="165" fontId="0" fillId="0" borderId="0" xfId="3" applyFont="1"/>
    <xf numFmtId="0" fontId="0" fillId="0" borderId="0" xfId="0" applyAlignment="1">
      <alignment horizontal="center"/>
    </xf>
    <xf numFmtId="0" fontId="11" fillId="0" borderId="0" xfId="0" applyFont="1"/>
    <xf numFmtId="0" fontId="25" fillId="0" borderId="0" xfId="0" applyFont="1" applyAlignment="1">
      <alignment horizontal="right" vertical="center"/>
    </xf>
    <xf numFmtId="0" fontId="26" fillId="0" borderId="0" xfId="0" applyFont="1"/>
    <xf numFmtId="165" fontId="9" fillId="0" borderId="0" xfId="3" applyFont="1"/>
    <xf numFmtId="0" fontId="23" fillId="0" borderId="0" xfId="0" applyFont="1"/>
    <xf numFmtId="165" fontId="11" fillId="0" borderId="0" xfId="3" applyFont="1" applyBorder="1" applyAlignment="1">
      <alignment horizontal="center"/>
    </xf>
    <xf numFmtId="0" fontId="11" fillId="0" borderId="39" xfId="0" applyFont="1" applyBorder="1" applyAlignment="1">
      <alignment horizontal="center" vertical="center" wrapText="1"/>
    </xf>
    <xf numFmtId="0" fontId="11" fillId="0" borderId="40"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42" xfId="0" applyFont="1" applyBorder="1" applyAlignment="1">
      <alignment horizontal="center" vertical="center" wrapText="1"/>
    </xf>
    <xf numFmtId="0" fontId="11" fillId="0" borderId="43" xfId="0" applyFont="1" applyBorder="1" applyAlignment="1">
      <alignment horizontal="left" vertical="center" wrapText="1"/>
    </xf>
    <xf numFmtId="0" fontId="11" fillId="0" borderId="44" xfId="0" applyFont="1" applyBorder="1" applyAlignment="1">
      <alignment horizontal="center" vertical="center"/>
    </xf>
    <xf numFmtId="0" fontId="11" fillId="0" borderId="45" xfId="0" applyFont="1" applyBorder="1" applyAlignment="1">
      <alignment vertical="center"/>
    </xf>
    <xf numFmtId="0" fontId="9" fillId="0" borderId="20" xfId="0" applyFont="1" applyBorder="1" applyAlignment="1">
      <alignment horizontal="center" vertical="center"/>
    </xf>
    <xf numFmtId="0" fontId="15" fillId="0" borderId="7" xfId="0" applyFont="1" applyBorder="1" applyAlignment="1">
      <alignment vertical="center"/>
    </xf>
    <xf numFmtId="165" fontId="15" fillId="0" borderId="8" xfId="3" applyFont="1" applyBorder="1" applyAlignment="1">
      <alignment vertical="center"/>
    </xf>
    <xf numFmtId="165" fontId="15" fillId="0" borderId="8" xfId="3" applyFont="1" applyBorder="1" applyAlignment="1">
      <alignment horizontal="center" vertical="center"/>
    </xf>
    <xf numFmtId="166" fontId="15" fillId="0" borderId="8" xfId="3" applyNumberFormat="1" applyFont="1" applyBorder="1" applyAlignment="1">
      <alignment vertical="center"/>
    </xf>
    <xf numFmtId="166" fontId="15" fillId="0" borderId="32" xfId="3" applyNumberFormat="1" applyFont="1" applyBorder="1" applyAlignment="1">
      <alignment vertical="center"/>
    </xf>
    <xf numFmtId="0" fontId="9" fillId="0" borderId="17" xfId="0" applyFont="1" applyBorder="1" applyAlignment="1">
      <alignment horizontal="center" vertical="center"/>
    </xf>
    <xf numFmtId="0" fontId="15" fillId="0" borderId="12" xfId="0" applyFont="1" applyBorder="1" applyAlignment="1">
      <alignment vertical="center"/>
    </xf>
    <xf numFmtId="165" fontId="15" fillId="0" borderId="13" xfId="3" applyFont="1" applyBorder="1" applyAlignment="1">
      <alignment horizontal="right" vertical="center"/>
    </xf>
    <xf numFmtId="165" fontId="15" fillId="0" borderId="13" xfId="3" applyFont="1" applyBorder="1" applyAlignment="1">
      <alignment horizontal="center" vertical="center"/>
    </xf>
    <xf numFmtId="166" fontId="15" fillId="0" borderId="13" xfId="3" applyNumberFormat="1" applyFont="1" applyBorder="1" applyAlignment="1">
      <alignment vertical="center"/>
    </xf>
    <xf numFmtId="166" fontId="15" fillId="0" borderId="19" xfId="3" applyNumberFormat="1" applyFont="1" applyBorder="1" applyAlignment="1">
      <alignment vertical="center"/>
    </xf>
    <xf numFmtId="0" fontId="0" fillId="0" borderId="30" xfId="0" applyBorder="1" applyAlignment="1">
      <alignment vertical="center"/>
    </xf>
    <xf numFmtId="165" fontId="0" fillId="0" borderId="28" xfId="3" applyFont="1" applyBorder="1" applyAlignment="1">
      <alignment vertical="center"/>
    </xf>
    <xf numFmtId="0" fontId="0" fillId="0" borderId="28" xfId="0" applyBorder="1" applyAlignment="1">
      <alignment horizontal="center" vertical="center"/>
    </xf>
    <xf numFmtId="167" fontId="0" fillId="0" borderId="28" xfId="81" applyNumberFormat="1" applyFont="1" applyFill="1" applyBorder="1" applyAlignment="1">
      <alignment vertical="center"/>
    </xf>
    <xf numFmtId="166" fontId="13" fillId="0" borderId="29" xfId="3" applyNumberFormat="1" applyFont="1" applyBorder="1" applyAlignment="1">
      <alignment vertical="center"/>
    </xf>
    <xf numFmtId="167" fontId="15" fillId="0" borderId="8" xfId="81" applyNumberFormat="1" applyFont="1" applyFill="1" applyBorder="1" applyAlignment="1">
      <alignment horizontal="center" vertical="center"/>
    </xf>
    <xf numFmtId="165" fontId="15" fillId="0" borderId="13" xfId="3" applyFont="1" applyFill="1" applyBorder="1" applyAlignment="1">
      <alignment vertical="center"/>
    </xf>
    <xf numFmtId="167" fontId="15" fillId="0" borderId="13" xfId="81" applyNumberFormat="1" applyFont="1" applyFill="1" applyBorder="1" applyAlignment="1">
      <alignment horizontal="center" vertical="center"/>
    </xf>
    <xf numFmtId="165" fontId="15" fillId="0" borderId="13" xfId="3" applyFont="1" applyBorder="1" applyAlignment="1">
      <alignment vertical="center"/>
    </xf>
    <xf numFmtId="0" fontId="15" fillId="0" borderId="13" xfId="0" applyFont="1" applyBorder="1" applyAlignment="1">
      <alignment horizontal="center" vertical="center"/>
    </xf>
    <xf numFmtId="166" fontId="15" fillId="4" borderId="19" xfId="3" applyNumberFormat="1" applyFont="1" applyFill="1" applyBorder="1" applyAlignment="1">
      <alignment vertical="center"/>
    </xf>
    <xf numFmtId="0" fontId="9" fillId="0" borderId="12" xfId="0" applyFont="1" applyBorder="1" applyAlignment="1">
      <alignment vertical="center"/>
    </xf>
    <xf numFmtId="165" fontId="9" fillId="0" borderId="13" xfId="3" applyFont="1" applyBorder="1" applyAlignment="1">
      <alignment vertical="center"/>
    </xf>
    <xf numFmtId="165" fontId="9" fillId="0" borderId="13" xfId="3" applyFont="1" applyBorder="1" applyAlignment="1">
      <alignment horizontal="center" vertical="center"/>
    </xf>
    <xf numFmtId="166" fontId="9" fillId="0" borderId="13" xfId="3" applyNumberFormat="1" applyFont="1" applyBorder="1" applyAlignment="1">
      <alignment vertical="center"/>
    </xf>
    <xf numFmtId="166" fontId="11" fillId="4" borderId="19" xfId="3" applyNumberFormat="1" applyFont="1" applyFill="1" applyBorder="1" applyAlignment="1">
      <alignment vertical="center"/>
    </xf>
    <xf numFmtId="0" fontId="11" fillId="0" borderId="12" xfId="0" applyFont="1" applyBorder="1" applyAlignment="1">
      <alignment vertical="center"/>
    </xf>
    <xf numFmtId="165" fontId="11" fillId="0" borderId="13" xfId="3" applyFont="1" applyBorder="1" applyAlignment="1">
      <alignment vertical="center"/>
    </xf>
    <xf numFmtId="165" fontId="11" fillId="0" borderId="13" xfId="3" applyFont="1" applyBorder="1" applyAlignment="1">
      <alignment horizontal="center" vertical="center"/>
    </xf>
    <xf numFmtId="166" fontId="11" fillId="0" borderId="28" xfId="3" applyNumberFormat="1" applyFont="1" applyBorder="1" applyAlignment="1">
      <alignment vertical="center"/>
    </xf>
    <xf numFmtId="0" fontId="11" fillId="0" borderId="17" xfId="0" applyFont="1" applyBorder="1" applyAlignment="1">
      <alignment horizontal="center" vertical="center"/>
    </xf>
    <xf numFmtId="0" fontId="11" fillId="0" borderId="43" xfId="0" applyFont="1" applyBorder="1" applyAlignment="1">
      <alignment vertical="center"/>
    </xf>
    <xf numFmtId="0" fontId="28" fillId="4" borderId="47" xfId="0" applyFont="1" applyFill="1" applyBorder="1" applyAlignment="1">
      <alignment horizontal="center"/>
    </xf>
    <xf numFmtId="0" fontId="27" fillId="4" borderId="45" xfId="0" applyFont="1" applyFill="1" applyBorder="1" applyAlignment="1">
      <alignment vertical="center"/>
    </xf>
    <xf numFmtId="0" fontId="29" fillId="4" borderId="13" xfId="0" applyFont="1" applyFill="1" applyBorder="1"/>
    <xf numFmtId="165" fontId="15" fillId="0" borderId="39" xfId="3" applyFont="1" applyBorder="1" applyAlignment="1">
      <alignment vertical="center"/>
    </xf>
    <xf numFmtId="165" fontId="15" fillId="0" borderId="39" xfId="3" applyFont="1" applyBorder="1" applyAlignment="1">
      <alignment horizontal="center" vertical="center"/>
    </xf>
    <xf numFmtId="166" fontId="15" fillId="4" borderId="40" xfId="3" applyNumberFormat="1" applyFont="1" applyFill="1" applyBorder="1" applyAlignment="1">
      <alignment vertical="center"/>
    </xf>
    <xf numFmtId="166" fontId="15" fillId="4" borderId="32" xfId="3" applyNumberFormat="1" applyFont="1" applyFill="1" applyBorder="1" applyAlignment="1">
      <alignment vertical="center"/>
    </xf>
    <xf numFmtId="0" fontId="9" fillId="0" borderId="30" xfId="0" applyFont="1" applyBorder="1" applyAlignment="1">
      <alignment vertical="center"/>
    </xf>
    <xf numFmtId="165" fontId="9" fillId="0" borderId="28" xfId="3" applyFont="1" applyBorder="1" applyAlignment="1">
      <alignment vertical="center"/>
    </xf>
    <xf numFmtId="165" fontId="9" fillId="0" borderId="28" xfId="3" applyFont="1" applyBorder="1" applyAlignment="1">
      <alignment horizontal="center" vertical="center"/>
    </xf>
    <xf numFmtId="166" fontId="9" fillId="0" borderId="28" xfId="3" applyNumberFormat="1" applyFont="1" applyBorder="1" applyAlignment="1">
      <alignment vertical="center"/>
    </xf>
    <xf numFmtId="166" fontId="11" fillId="4" borderId="29" xfId="3" applyNumberFormat="1" applyFont="1" applyFill="1" applyBorder="1" applyAlignment="1">
      <alignment vertical="center"/>
    </xf>
    <xf numFmtId="0" fontId="27" fillId="0" borderId="43" xfId="0" applyFont="1" applyBorder="1" applyAlignment="1">
      <alignment vertical="center"/>
    </xf>
    <xf numFmtId="165" fontId="18" fillId="0" borderId="44" xfId="3" applyFont="1" applyFill="1" applyBorder="1" applyAlignment="1">
      <alignment vertical="center"/>
    </xf>
    <xf numFmtId="0" fontId="9" fillId="0" borderId="7" xfId="0" applyFont="1" applyBorder="1" applyAlignment="1">
      <alignment vertical="center"/>
    </xf>
    <xf numFmtId="165" fontId="9" fillId="0" borderId="8" xfId="3" applyFont="1" applyBorder="1" applyAlignment="1">
      <alignment vertical="center"/>
    </xf>
    <xf numFmtId="165" fontId="9" fillId="0" borderId="8" xfId="3" applyFont="1" applyBorder="1" applyAlignment="1">
      <alignment horizontal="center" vertical="center"/>
    </xf>
    <xf numFmtId="166" fontId="9" fillId="0" borderId="8" xfId="3" applyNumberFormat="1" applyFont="1" applyBorder="1" applyAlignment="1">
      <alignment vertical="center"/>
    </xf>
    <xf numFmtId="166" fontId="9" fillId="4" borderId="32" xfId="3" applyNumberFormat="1" applyFont="1" applyFill="1" applyBorder="1" applyAlignment="1">
      <alignment vertical="center"/>
    </xf>
    <xf numFmtId="165" fontId="9" fillId="0" borderId="27" xfId="3" applyFont="1" applyBorder="1" applyAlignment="1">
      <alignment horizontal="center" vertical="center"/>
    </xf>
    <xf numFmtId="166" fontId="9" fillId="0" borderId="27" xfId="3" applyNumberFormat="1" applyFont="1" applyBorder="1" applyAlignment="1">
      <alignment vertical="center"/>
    </xf>
    <xf numFmtId="166" fontId="11" fillId="4" borderId="48" xfId="3" applyNumberFormat="1" applyFont="1" applyFill="1" applyBorder="1" applyAlignment="1">
      <alignment vertical="center"/>
    </xf>
    <xf numFmtId="0" fontId="11" fillId="0" borderId="49" xfId="0" applyFont="1" applyBorder="1" applyAlignment="1">
      <alignment vertical="center"/>
    </xf>
    <xf numFmtId="165" fontId="11" fillId="0" borderId="50" xfId="3" applyFont="1" applyBorder="1" applyAlignment="1">
      <alignment vertical="center"/>
    </xf>
    <xf numFmtId="165" fontId="11" fillId="0" borderId="50" xfId="3" applyFont="1" applyBorder="1" applyAlignment="1">
      <alignment horizontal="center" vertical="center"/>
    </xf>
    <xf numFmtId="166" fontId="11" fillId="0" borderId="50" xfId="3" applyNumberFormat="1" applyFont="1" applyBorder="1" applyAlignment="1">
      <alignment vertical="center"/>
    </xf>
    <xf numFmtId="166" fontId="11" fillId="4" borderId="51" xfId="3" applyNumberFormat="1" applyFont="1" applyFill="1" applyBorder="1" applyAlignment="1">
      <alignment vertical="center"/>
    </xf>
    <xf numFmtId="0" fontId="9" fillId="0" borderId="30" xfId="0" applyFont="1" applyBorder="1" applyAlignment="1">
      <alignment horizontal="center" vertical="center"/>
    </xf>
    <xf numFmtId="0" fontId="9" fillId="0" borderId="27" xfId="0" applyFont="1" applyBorder="1" applyAlignment="1">
      <alignment vertical="center"/>
    </xf>
    <xf numFmtId="165" fontId="9" fillId="0" borderId="27" xfId="3" applyFont="1" applyBorder="1" applyAlignment="1">
      <alignment vertical="center"/>
    </xf>
    <xf numFmtId="166" fontId="9" fillId="0" borderId="48" xfId="3" applyNumberFormat="1" applyFont="1" applyBorder="1" applyAlignment="1">
      <alignment vertical="center"/>
    </xf>
    <xf numFmtId="0" fontId="11" fillId="0" borderId="43" xfId="0" applyFont="1" applyBorder="1" applyAlignment="1">
      <alignment horizontal="center" vertical="center"/>
    </xf>
    <xf numFmtId="166" fontId="11" fillId="0" borderId="52" xfId="3" applyNumberFormat="1" applyFont="1" applyBorder="1" applyAlignment="1">
      <alignment vertical="center"/>
    </xf>
    <xf numFmtId="165" fontId="9" fillId="0" borderId="0" xfId="3" applyFont="1" applyAlignment="1">
      <alignment horizontal="center"/>
    </xf>
    <xf numFmtId="165" fontId="30" fillId="0" borderId="0" xfId="3" applyFont="1"/>
    <xf numFmtId="0" fontId="15" fillId="0" borderId="0" xfId="48" applyFont="1" applyAlignment="1">
      <alignment vertical="center"/>
    </xf>
    <xf numFmtId="165" fontId="15" fillId="0" borderId="0" xfId="3" applyFont="1" applyAlignment="1">
      <alignment vertical="center"/>
    </xf>
    <xf numFmtId="0" fontId="15" fillId="0" borderId="0" xfId="48" applyFont="1" applyAlignment="1">
      <alignment horizontal="center" vertical="center"/>
    </xf>
    <xf numFmtId="0" fontId="18" fillId="0" borderId="0" xfId="0" applyFont="1" applyAlignment="1">
      <alignment horizontal="center" vertical="center"/>
    </xf>
    <xf numFmtId="0" fontId="13" fillId="0" borderId="0" xfId="0" applyFont="1" applyAlignment="1">
      <alignment horizontal="center"/>
    </xf>
    <xf numFmtId="0" fontId="31" fillId="0" borderId="0" xfId="0" applyFont="1"/>
    <xf numFmtId="0" fontId="9" fillId="4" borderId="0" xfId="0" applyFont="1" applyFill="1" applyAlignment="1">
      <alignment horizontal="center"/>
    </xf>
    <xf numFmtId="0" fontId="9" fillId="0" borderId="0" xfId="48" applyAlignment="1">
      <alignment horizontal="center" vertical="center"/>
    </xf>
    <xf numFmtId="0" fontId="32" fillId="0" borderId="0" xfId="0" applyFont="1" applyAlignment="1">
      <alignment horizontal="center"/>
    </xf>
    <xf numFmtId="0" fontId="9" fillId="0" borderId="0" xfId="48" applyAlignment="1">
      <alignment vertical="center"/>
    </xf>
    <xf numFmtId="165" fontId="9" fillId="0" borderId="0" xfId="3" applyFont="1" applyAlignment="1">
      <alignment vertical="center"/>
    </xf>
    <xf numFmtId="0" fontId="11" fillId="0" borderId="0" xfId="48" applyFont="1" applyAlignment="1">
      <alignment vertical="center"/>
    </xf>
    <xf numFmtId="164" fontId="0" fillId="0" borderId="0" xfId="1" applyFont="1"/>
    <xf numFmtId="0" fontId="29" fillId="0" borderId="0" xfId="0" applyFont="1"/>
    <xf numFmtId="0" fontId="28" fillId="0" borderId="13" xfId="0" applyFont="1" applyBorder="1" applyAlignment="1">
      <alignment horizontal="center"/>
    </xf>
    <xf numFmtId="0" fontId="29" fillId="4" borderId="13" xfId="0" applyFont="1" applyFill="1" applyBorder="1" applyAlignment="1">
      <alignment horizontal="center"/>
    </xf>
    <xf numFmtId="0" fontId="28" fillId="4" borderId="13" xfId="0" applyFont="1" applyFill="1" applyBorder="1" applyAlignment="1">
      <alignment horizontal="right"/>
    </xf>
    <xf numFmtId="170" fontId="28" fillId="0" borderId="13" xfId="1" applyNumberFormat="1" applyFont="1" applyFill="1" applyBorder="1" applyAlignment="1">
      <alignment horizontal="center"/>
    </xf>
    <xf numFmtId="0" fontId="28" fillId="0" borderId="8" xfId="0" applyFont="1" applyBorder="1" applyAlignment="1">
      <alignment horizontal="center" vertical="center"/>
    </xf>
    <xf numFmtId="0" fontId="28" fillId="0" borderId="13" xfId="0" applyFont="1" applyBorder="1" applyAlignment="1">
      <alignment horizontal="left"/>
    </xf>
    <xf numFmtId="0" fontId="33" fillId="5" borderId="0" xfId="57" applyFont="1" applyFill="1" applyAlignment="1">
      <alignment horizontal="center"/>
    </xf>
    <xf numFmtId="0" fontId="34" fillId="5" borderId="0" xfId="57" applyFont="1" applyFill="1"/>
    <xf numFmtId="170" fontId="29" fillId="0" borderId="13" xfId="1" applyNumberFormat="1" applyFont="1" applyFill="1" applyBorder="1" applyAlignment="1">
      <alignment horizontal="center"/>
    </xf>
    <xf numFmtId="0" fontId="29" fillId="0" borderId="13" xfId="0" applyFont="1" applyBorder="1" applyAlignment="1">
      <alignment horizontal="center"/>
    </xf>
    <xf numFmtId="0" fontId="35" fillId="4" borderId="13" xfId="0" applyFont="1" applyFill="1" applyBorder="1" applyAlignment="1">
      <alignment horizontal="center"/>
    </xf>
    <xf numFmtId="0" fontId="29" fillId="0" borderId="13" xfId="0" applyFont="1" applyBorder="1" applyAlignment="1">
      <alignment horizontal="left"/>
    </xf>
    <xf numFmtId="0" fontId="36" fillId="0" borderId="27" xfId="59" applyFont="1" applyBorder="1" applyAlignment="1" applyProtection="1">
      <alignment horizontal="center" vertical="center"/>
      <protection hidden="1"/>
    </xf>
    <xf numFmtId="0" fontId="29" fillId="0" borderId="13" xfId="0" applyFont="1" applyBorder="1"/>
    <xf numFmtId="0" fontId="37" fillId="0" borderId="13" xfId="0" applyFont="1" applyBorder="1" applyAlignment="1">
      <alignment horizontal="center" wrapText="1"/>
    </xf>
    <xf numFmtId="0" fontId="29" fillId="4" borderId="53" xfId="0" applyFont="1" applyFill="1" applyBorder="1" applyAlignment="1">
      <alignment vertical="center"/>
    </xf>
    <xf numFmtId="170" fontId="29" fillId="0" borderId="0" xfId="0" applyNumberFormat="1" applyFont="1"/>
    <xf numFmtId="0" fontId="38" fillId="0" borderId="13" xfId="0" applyFont="1" applyBorder="1" applyAlignment="1">
      <alignment horizontal="center" wrapText="1"/>
    </xf>
    <xf numFmtId="0" fontId="29" fillId="4" borderId="0" xfId="0" applyFont="1" applyFill="1" applyAlignment="1">
      <alignment vertical="center"/>
    </xf>
    <xf numFmtId="0" fontId="28" fillId="0" borderId="13" xfId="0" applyFont="1" applyBorder="1" applyAlignment="1">
      <alignment horizontal="right"/>
    </xf>
    <xf numFmtId="0" fontId="28" fillId="0" borderId="13" xfId="0" applyFont="1" applyBorder="1" applyAlignment="1">
      <alignment horizontal="center" vertical="center"/>
    </xf>
    <xf numFmtId="167" fontId="28" fillId="0" borderId="13" xfId="81" applyNumberFormat="1" applyFont="1" applyFill="1" applyBorder="1" applyAlignment="1" applyProtection="1">
      <alignment vertical="center"/>
    </xf>
    <xf numFmtId="170" fontId="29" fillId="0" borderId="13" xfId="1" applyNumberFormat="1" applyFont="1" applyFill="1" applyBorder="1" applyAlignment="1"/>
    <xf numFmtId="170" fontId="28" fillId="0" borderId="13" xfId="1" applyNumberFormat="1" applyFont="1" applyFill="1" applyBorder="1" applyAlignment="1"/>
    <xf numFmtId="164" fontId="29" fillId="0" borderId="0" xfId="1" applyFont="1"/>
    <xf numFmtId="9" fontId="29" fillId="0" borderId="13" xfId="2" applyFont="1" applyFill="1" applyBorder="1" applyAlignment="1"/>
    <xf numFmtId="0" fontId="29" fillId="0" borderId="0" xfId="0" applyFont="1" applyAlignment="1">
      <alignment horizontal="right"/>
    </xf>
    <xf numFmtId="170" fontId="29" fillId="0" borderId="0" xfId="1" applyNumberFormat="1" applyFont="1" applyFill="1" applyAlignment="1"/>
    <xf numFmtId="0" fontId="39" fillId="0" borderId="0" xfId="69" applyFont="1" applyAlignment="1">
      <alignment vertical="center"/>
    </xf>
    <xf numFmtId="0" fontId="39" fillId="0" borderId="0" xfId="69" applyFont="1"/>
    <xf numFmtId="0" fontId="32" fillId="0" borderId="0" xfId="0" applyFont="1"/>
    <xf numFmtId="0" fontId="9" fillId="4" borderId="0" xfId="0" applyFont="1" applyFill="1"/>
    <xf numFmtId="0" fontId="0" fillId="4" borderId="0" xfId="0" applyFill="1"/>
    <xf numFmtId="0" fontId="0" fillId="4" borderId="0" xfId="0" applyFill="1" applyAlignment="1">
      <alignment horizontal="left"/>
    </xf>
    <xf numFmtId="0" fontId="0" fillId="4" borderId="0" xfId="0" applyFill="1" applyAlignment="1">
      <alignment horizontal="center"/>
    </xf>
    <xf numFmtId="0" fontId="11" fillId="4" borderId="0" xfId="0" applyFont="1" applyFill="1"/>
    <xf numFmtId="0" fontId="9" fillId="4" borderId="0" xfId="0" applyFont="1" applyFill="1" applyAlignment="1">
      <alignment horizontal="left"/>
    </xf>
    <xf numFmtId="0" fontId="26" fillId="4" borderId="0" xfId="0" applyFont="1" applyFill="1"/>
    <xf numFmtId="0" fontId="15" fillId="4" borderId="0" xfId="0" applyFont="1" applyFill="1" applyAlignment="1">
      <alignment vertical="center"/>
    </xf>
    <xf numFmtId="166" fontId="18" fillId="4" borderId="0" xfId="0" applyNumberFormat="1" applyFont="1" applyFill="1" applyAlignment="1">
      <alignment horizontal="left" vertical="center"/>
    </xf>
    <xf numFmtId="166" fontId="15" fillId="4" borderId="0" xfId="0" applyNumberFormat="1" applyFont="1" applyFill="1" applyAlignment="1">
      <alignment horizontal="left" vertical="center"/>
    </xf>
    <xf numFmtId="172" fontId="16" fillId="4" borderId="0" xfId="0" applyNumberFormat="1" applyFont="1" applyFill="1" applyAlignment="1">
      <alignment horizontal="left" vertical="center"/>
    </xf>
    <xf numFmtId="165" fontId="15" fillId="4" borderId="0" xfId="0" applyNumberFormat="1" applyFont="1" applyFill="1" applyAlignment="1">
      <alignment horizontal="left" vertical="center"/>
    </xf>
    <xf numFmtId="165" fontId="15" fillId="4" borderId="0" xfId="3" applyFont="1" applyFill="1" applyAlignment="1">
      <alignment vertical="center"/>
    </xf>
    <xf numFmtId="49" fontId="15" fillId="4" borderId="0" xfId="3" applyNumberFormat="1" applyFont="1" applyFill="1" applyAlignment="1">
      <alignment vertical="center"/>
    </xf>
    <xf numFmtId="170" fontId="15" fillId="4" borderId="0" xfId="1" applyNumberFormat="1" applyFont="1" applyFill="1" applyAlignment="1">
      <alignment horizontal="left" vertical="center"/>
    </xf>
    <xf numFmtId="0" fontId="18" fillId="4" borderId="43" xfId="0" applyFont="1" applyFill="1" applyBorder="1" applyAlignment="1">
      <alignment horizontal="center" vertical="center" wrapText="1"/>
    </xf>
    <xf numFmtId="0" fontId="18" fillId="4" borderId="44" xfId="0" applyFont="1" applyFill="1" applyBorder="1" applyAlignment="1">
      <alignment horizontal="center" vertical="center" wrapText="1"/>
    </xf>
    <xf numFmtId="0" fontId="18" fillId="4" borderId="44" xfId="0" applyFont="1" applyFill="1" applyBorder="1" applyAlignment="1">
      <alignment horizontal="left" vertical="center" wrapText="1"/>
    </xf>
    <xf numFmtId="0" fontId="18" fillId="4" borderId="46" xfId="0" applyFont="1" applyFill="1" applyBorder="1" applyAlignment="1">
      <alignment horizontal="center" vertical="center" wrapText="1"/>
    </xf>
    <xf numFmtId="0" fontId="18" fillId="4" borderId="1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54" xfId="0" applyFont="1" applyFill="1" applyBorder="1" applyAlignment="1">
      <alignment horizontal="center" vertical="center"/>
    </xf>
    <xf numFmtId="173" fontId="40" fillId="4" borderId="55" xfId="57" applyNumberFormat="1" applyFont="1" applyFill="1" applyBorder="1" applyAlignment="1">
      <alignment horizontal="left" vertical="center"/>
    </xf>
    <xf numFmtId="165" fontId="15" fillId="4" borderId="56" xfId="3" applyFont="1" applyFill="1" applyBorder="1" applyAlignment="1">
      <alignment horizontal="center" vertical="center"/>
    </xf>
    <xf numFmtId="166" fontId="15" fillId="4" borderId="9" xfId="3" applyNumberFormat="1" applyFont="1" applyFill="1" applyBorder="1" applyAlignment="1">
      <alignment vertical="center"/>
    </xf>
    <xf numFmtId="165" fontId="0" fillId="4" borderId="13" xfId="0" applyNumberFormat="1" applyFill="1" applyBorder="1"/>
    <xf numFmtId="0" fontId="15" fillId="4" borderId="12" xfId="0" applyFont="1" applyFill="1" applyBorder="1" applyAlignment="1">
      <alignment horizontal="center" vertical="center" wrapText="1"/>
    </xf>
    <xf numFmtId="0" fontId="18" fillId="4" borderId="43" xfId="0" applyFont="1" applyFill="1" applyBorder="1" applyAlignment="1">
      <alignment horizontal="center" vertical="center"/>
    </xf>
    <xf numFmtId="0" fontId="41" fillId="4" borderId="44" xfId="57" applyFont="1" applyFill="1" applyBorder="1" applyAlignment="1">
      <alignment horizontal="left" vertical="center"/>
    </xf>
    <xf numFmtId="165" fontId="18" fillId="4" borderId="46" xfId="3" applyFont="1" applyFill="1" applyBorder="1" applyAlignment="1">
      <alignment horizontal="center" vertical="center"/>
    </xf>
    <xf numFmtId="166" fontId="15" fillId="4" borderId="14" xfId="3" applyNumberFormat="1" applyFont="1" applyFill="1" applyBorder="1" applyAlignment="1">
      <alignment horizontal="center" vertical="center"/>
    </xf>
    <xf numFmtId="165" fontId="40" fillId="4" borderId="12" xfId="3" applyFont="1" applyFill="1" applyBorder="1" applyAlignment="1">
      <alignment horizontal="center" vertical="center"/>
    </xf>
    <xf numFmtId="165" fontId="15" fillId="4" borderId="13" xfId="3" applyFont="1" applyFill="1" applyBorder="1" applyAlignment="1">
      <alignment horizontal="left" vertical="center"/>
    </xf>
    <xf numFmtId="165" fontId="15" fillId="4" borderId="14" xfId="3" applyFont="1" applyFill="1" applyBorder="1" applyAlignment="1">
      <alignment horizontal="center" vertical="center"/>
    </xf>
    <xf numFmtId="0" fontId="40" fillId="4" borderId="12" xfId="3" applyNumberFormat="1" applyFont="1" applyFill="1" applyBorder="1" applyAlignment="1">
      <alignment horizontal="center" vertical="center"/>
    </xf>
    <xf numFmtId="165" fontId="40" fillId="4" borderId="30" xfId="3" applyFont="1" applyFill="1" applyBorder="1" applyAlignment="1">
      <alignment horizontal="center" vertical="center"/>
    </xf>
    <xf numFmtId="165" fontId="15" fillId="4" borderId="28" xfId="3" applyFont="1" applyFill="1" applyBorder="1" applyAlignment="1">
      <alignment horizontal="left" vertical="center"/>
    </xf>
    <xf numFmtId="165" fontId="15" fillId="4" borderId="22" xfId="3" applyFont="1" applyFill="1" applyBorder="1" applyAlignment="1">
      <alignment horizontal="center" vertical="center"/>
    </xf>
    <xf numFmtId="165" fontId="18" fillId="4" borderId="46" xfId="3" applyFont="1" applyFill="1" applyBorder="1" applyAlignment="1">
      <alignment vertical="center"/>
    </xf>
    <xf numFmtId="170" fontId="18" fillId="4" borderId="56" xfId="1" applyNumberFormat="1" applyFont="1" applyFill="1" applyBorder="1" applyAlignment="1">
      <alignment vertical="center"/>
    </xf>
    <xf numFmtId="0" fontId="18" fillId="4" borderId="42" xfId="0" applyFont="1" applyFill="1" applyBorder="1" applyAlignment="1">
      <alignment vertical="center"/>
    </xf>
    <xf numFmtId="0" fontId="18" fillId="4" borderId="59" xfId="0" applyFont="1" applyFill="1" applyBorder="1" applyAlignment="1">
      <alignment vertical="center"/>
    </xf>
    <xf numFmtId="0" fontId="18" fillId="4" borderId="2" xfId="0" applyFont="1" applyFill="1" applyBorder="1" applyAlignment="1">
      <alignment horizontal="left" vertical="center"/>
    </xf>
    <xf numFmtId="166" fontId="17" fillId="4" borderId="45" xfId="3" applyNumberFormat="1" applyFont="1" applyFill="1" applyBorder="1" applyAlignment="1">
      <alignment horizontal="center" vertical="center"/>
    </xf>
    <xf numFmtId="0" fontId="15" fillId="4" borderId="20" xfId="0" applyFont="1" applyFill="1" applyBorder="1" applyAlignment="1">
      <alignment vertical="center"/>
    </xf>
    <xf numFmtId="0" fontId="15" fillId="4" borderId="10" xfId="0" applyFont="1" applyFill="1" applyBorder="1" applyAlignment="1">
      <alignment vertical="center"/>
    </xf>
    <xf numFmtId="0" fontId="0" fillId="4" borderId="13" xfId="0" applyFill="1" applyBorder="1" applyAlignment="1">
      <alignment horizontal="left"/>
    </xf>
    <xf numFmtId="165" fontId="15" fillId="4" borderId="60" xfId="3" applyFont="1" applyFill="1" applyBorder="1" applyAlignment="1">
      <alignment horizontal="right" vertical="center"/>
    </xf>
    <xf numFmtId="0" fontId="15" fillId="4" borderId="9" xfId="0" applyFont="1" applyFill="1" applyBorder="1" applyAlignment="1">
      <alignment horizontal="center" vertical="center"/>
    </xf>
    <xf numFmtId="174" fontId="40" fillId="3" borderId="32" xfId="81" applyNumberFormat="1" applyFont="1" applyFill="1" applyBorder="1" applyAlignment="1" applyProtection="1">
      <alignment vertical="center"/>
    </xf>
    <xf numFmtId="0" fontId="15" fillId="4" borderId="17" xfId="0" applyFont="1" applyFill="1" applyBorder="1" applyAlignment="1">
      <alignment vertical="center"/>
    </xf>
    <xf numFmtId="0" fontId="15" fillId="4" borderId="15" xfId="0" applyFont="1" applyFill="1" applyBorder="1" applyAlignment="1">
      <alignment vertical="center"/>
    </xf>
    <xf numFmtId="165" fontId="15" fillId="4" borderId="18" xfId="3" applyFont="1" applyFill="1" applyBorder="1" applyAlignment="1">
      <alignment horizontal="right" vertical="center"/>
    </xf>
    <xf numFmtId="10" fontId="41" fillId="3" borderId="14" xfId="2" applyNumberFormat="1" applyFont="1" applyFill="1" applyBorder="1" applyAlignment="1" applyProtection="1">
      <alignment horizontal="right" vertical="center"/>
    </xf>
    <xf numFmtId="174" fontId="41" fillId="3" borderId="19" xfId="81" applyNumberFormat="1" applyFont="1" applyFill="1" applyBorder="1" applyAlignment="1" applyProtection="1">
      <alignment vertical="center"/>
    </xf>
    <xf numFmtId="10" fontId="40" fillId="4" borderId="14" xfId="2" applyNumberFormat="1" applyFont="1" applyFill="1" applyBorder="1" applyAlignment="1" applyProtection="1">
      <alignment horizontal="right" vertical="center"/>
    </xf>
    <xf numFmtId="174" fontId="40" fillId="4" borderId="19" xfId="81" applyNumberFormat="1" applyFont="1" applyFill="1" applyBorder="1" applyAlignment="1" applyProtection="1">
      <alignment vertical="center"/>
    </xf>
    <xf numFmtId="10" fontId="41" fillId="4" borderId="14" xfId="2" applyNumberFormat="1" applyFont="1" applyFill="1" applyBorder="1" applyAlignment="1" applyProtection="1">
      <alignment horizontal="right" vertical="center"/>
    </xf>
    <xf numFmtId="174" fontId="42" fillId="4" borderId="19" xfId="81" applyNumberFormat="1" applyFont="1" applyFill="1" applyBorder="1" applyAlignment="1" applyProtection="1">
      <alignment vertical="center"/>
    </xf>
    <xf numFmtId="174" fontId="41" fillId="4" borderId="19" xfId="81" applyNumberFormat="1" applyFont="1" applyFill="1" applyBorder="1" applyAlignment="1" applyProtection="1">
      <alignment vertical="center"/>
    </xf>
    <xf numFmtId="0" fontId="15" fillId="4" borderId="61" xfId="0" applyFont="1" applyFill="1" applyBorder="1" applyAlignment="1">
      <alignment vertical="center"/>
    </xf>
    <xf numFmtId="0" fontId="15" fillId="4" borderId="62" xfId="0" applyFont="1" applyFill="1" applyBorder="1" applyAlignment="1">
      <alignment vertical="center"/>
    </xf>
    <xf numFmtId="0" fontId="15" fillId="4" borderId="62" xfId="0" applyFont="1" applyFill="1" applyBorder="1" applyAlignment="1">
      <alignment horizontal="left" vertical="center"/>
    </xf>
    <xf numFmtId="165" fontId="15" fillId="4" borderId="63" xfId="3" applyFont="1" applyFill="1" applyBorder="1" applyAlignment="1">
      <alignment horizontal="right" vertical="center"/>
    </xf>
    <xf numFmtId="10" fontId="40" fillId="4" borderId="64" xfId="2" applyNumberFormat="1" applyFont="1" applyFill="1" applyBorder="1" applyAlignment="1" applyProtection="1">
      <alignment horizontal="right" vertical="center"/>
    </xf>
    <xf numFmtId="174" fontId="40" fillId="4" borderId="51" xfId="81" applyNumberFormat="1" applyFont="1" applyFill="1" applyBorder="1" applyAlignment="1" applyProtection="1">
      <alignment horizontal="right" vertical="center"/>
    </xf>
    <xf numFmtId="0" fontId="15" fillId="4" borderId="0" xfId="0" applyFont="1" applyFill="1" applyAlignment="1">
      <alignment horizontal="left" vertical="center"/>
    </xf>
    <xf numFmtId="0" fontId="15" fillId="4" borderId="0" xfId="0" applyFont="1" applyFill="1" applyAlignment="1">
      <alignment horizontal="center" vertical="center"/>
    </xf>
    <xf numFmtId="0" fontId="15" fillId="4" borderId="0" xfId="48" applyFont="1" applyFill="1" applyAlignment="1">
      <alignment vertical="center"/>
    </xf>
    <xf numFmtId="0" fontId="15" fillId="4" borderId="0" xfId="48" applyFont="1" applyFill="1" applyAlignment="1">
      <alignment horizontal="left" vertical="center"/>
    </xf>
    <xf numFmtId="0" fontId="18" fillId="4" borderId="0" xfId="0" applyFont="1" applyFill="1" applyAlignment="1">
      <alignment horizontal="center" vertical="center"/>
    </xf>
    <xf numFmtId="0" fontId="12" fillId="4" borderId="0" xfId="0" applyFont="1" applyFill="1" applyAlignment="1">
      <alignment horizontal="center"/>
    </xf>
    <xf numFmtId="0" fontId="13" fillId="4" borderId="0" xfId="0" applyFont="1" applyFill="1" applyAlignment="1">
      <alignment horizontal="center"/>
    </xf>
    <xf numFmtId="0" fontId="31" fillId="4" borderId="0" xfId="0" applyFont="1" applyFill="1"/>
    <xf numFmtId="0" fontId="25" fillId="4" borderId="0" xfId="0" applyFont="1" applyFill="1"/>
    <xf numFmtId="0" fontId="43" fillId="4" borderId="0" xfId="0" applyFont="1" applyFill="1"/>
    <xf numFmtId="0" fontId="44" fillId="4" borderId="0" xfId="0" applyFont="1" applyFill="1"/>
    <xf numFmtId="0" fontId="18" fillId="4" borderId="0" xfId="48" applyFont="1" applyFill="1" applyAlignment="1">
      <alignment vertical="center"/>
    </xf>
    <xf numFmtId="0" fontId="18" fillId="4" borderId="0" xfId="0" applyFont="1" applyFill="1" applyAlignment="1">
      <alignment vertical="center"/>
    </xf>
    <xf numFmtId="0" fontId="11" fillId="4" borderId="0" xfId="0" applyFont="1" applyFill="1" applyAlignment="1">
      <alignment horizontal="center" vertical="center"/>
    </xf>
    <xf numFmtId="0" fontId="43" fillId="4" borderId="27" xfId="0" applyFont="1" applyFill="1" applyBorder="1" applyAlignment="1">
      <alignment horizontal="center" vertical="center" wrapText="1"/>
    </xf>
    <xf numFmtId="0" fontId="25" fillId="4" borderId="27" xfId="0" applyFont="1" applyFill="1" applyBorder="1" applyAlignment="1">
      <alignment vertical="center"/>
    </xf>
    <xf numFmtId="175" fontId="47" fillId="4" borderId="27" xfId="2" applyNumberFormat="1" applyFont="1" applyFill="1" applyBorder="1" applyAlignment="1">
      <alignment vertical="center"/>
    </xf>
    <xf numFmtId="175" fontId="48" fillId="4" borderId="27" xfId="56" applyNumberFormat="1" applyFont="1" applyFill="1" applyBorder="1" applyAlignment="1">
      <alignment horizontal="center" vertical="center"/>
    </xf>
    <xf numFmtId="166" fontId="48" fillId="4" borderId="27" xfId="10" applyNumberFormat="1" applyFont="1" applyFill="1" applyBorder="1" applyAlignment="1">
      <alignment horizontal="center" vertical="center" wrapText="1"/>
    </xf>
    <xf numFmtId="0" fontId="48" fillId="4" borderId="13" xfId="0" applyFont="1" applyFill="1" applyBorder="1" applyAlignment="1">
      <alignment horizontal="center" vertical="center" wrapText="1"/>
    </xf>
    <xf numFmtId="0" fontId="45" fillId="4" borderId="13" xfId="0" applyFont="1" applyFill="1" applyBorder="1" applyAlignment="1">
      <alignment horizontal="center" vertical="center"/>
    </xf>
    <xf numFmtId="0" fontId="37" fillId="0" borderId="13" xfId="0" applyFont="1" applyBorder="1" applyAlignment="1">
      <alignment horizontal="center" vertical="top" wrapText="1"/>
    </xf>
    <xf numFmtId="165" fontId="44" fillId="4" borderId="13" xfId="3" applyFont="1" applyFill="1" applyBorder="1" applyAlignment="1">
      <alignment horizontal="center"/>
    </xf>
    <xf numFmtId="170" fontId="44" fillId="4" borderId="13" xfId="1" applyNumberFormat="1" applyFont="1" applyFill="1" applyBorder="1" applyAlignment="1"/>
    <xf numFmtId="165" fontId="49" fillId="4" borderId="13" xfId="3" applyFont="1" applyFill="1" applyBorder="1" applyAlignment="1">
      <alignment vertical="center"/>
    </xf>
    <xf numFmtId="41" fontId="50" fillId="4" borderId="13" xfId="0" applyNumberFormat="1" applyFont="1" applyFill="1" applyBorder="1" applyAlignment="1">
      <alignment vertical="center"/>
    </xf>
    <xf numFmtId="0" fontId="9" fillId="4" borderId="13" xfId="0" applyFont="1" applyFill="1" applyBorder="1" applyAlignment="1">
      <alignment horizontal="center"/>
    </xf>
    <xf numFmtId="165" fontId="9" fillId="4" borderId="13" xfId="3" applyFont="1" applyFill="1" applyBorder="1" applyAlignment="1">
      <alignment horizontal="center"/>
    </xf>
    <xf numFmtId="165" fontId="51" fillId="4" borderId="13" xfId="0" applyNumberFormat="1" applyFont="1" applyFill="1" applyBorder="1" applyAlignment="1">
      <alignment horizontal="center" vertical="center"/>
    </xf>
    <xf numFmtId="0" fontId="45" fillId="4" borderId="0" xfId="0" applyFont="1" applyFill="1" applyAlignment="1">
      <alignment vertical="center"/>
    </xf>
    <xf numFmtId="0" fontId="45" fillId="4" borderId="8" xfId="0" applyFont="1" applyFill="1" applyBorder="1" applyAlignment="1">
      <alignment vertical="center"/>
    </xf>
    <xf numFmtId="165" fontId="45" fillId="4" borderId="13" xfId="3" applyFont="1" applyFill="1" applyBorder="1" applyAlignment="1">
      <alignment vertical="center"/>
    </xf>
    <xf numFmtId="0" fontId="45" fillId="4" borderId="13" xfId="0" applyFont="1" applyFill="1" applyBorder="1" applyAlignment="1">
      <alignment vertical="center"/>
    </xf>
    <xf numFmtId="165" fontId="45" fillId="4" borderId="14" xfId="0" applyNumberFormat="1" applyFont="1" applyFill="1" applyBorder="1" applyAlignment="1">
      <alignment vertical="center"/>
    </xf>
    <xf numFmtId="170" fontId="45" fillId="4" borderId="13" xfId="1" applyNumberFormat="1" applyFont="1" applyFill="1" applyBorder="1" applyAlignment="1">
      <alignment vertical="center"/>
    </xf>
    <xf numFmtId="0" fontId="0" fillId="4" borderId="0" xfId="0" applyFill="1" applyAlignment="1">
      <alignment vertical="center"/>
    </xf>
    <xf numFmtId="165" fontId="18" fillId="4" borderId="0" xfId="3" applyFont="1" applyFill="1"/>
    <xf numFmtId="1" fontId="9" fillId="4" borderId="0" xfId="0" applyNumberFormat="1" applyFont="1" applyFill="1"/>
    <xf numFmtId="165" fontId="9" fillId="4" borderId="0" xfId="3" applyFont="1" applyFill="1" applyAlignment="1"/>
    <xf numFmtId="1" fontId="9" fillId="4" borderId="0" xfId="0" applyNumberFormat="1" applyFont="1" applyFill="1" applyAlignment="1">
      <alignment horizontal="center"/>
    </xf>
    <xf numFmtId="176" fontId="13" fillId="4" borderId="0" xfId="3" applyNumberFormat="1" applyFont="1" applyFill="1" applyBorder="1" applyAlignment="1">
      <alignment vertical="center"/>
    </xf>
    <xf numFmtId="0" fontId="52" fillId="4" borderId="0" xfId="0" applyFont="1" applyFill="1" applyAlignment="1">
      <alignment horizontal="center"/>
    </xf>
    <xf numFmtId="0" fontId="25" fillId="4" borderId="0" xfId="0" applyFont="1" applyFill="1" applyAlignment="1">
      <alignment horizontal="center" vertical="center"/>
    </xf>
    <xf numFmtId="0" fontId="25" fillId="4" borderId="0" xfId="57" applyFont="1" applyFill="1" applyAlignment="1">
      <alignment vertical="center"/>
    </xf>
    <xf numFmtId="0" fontId="53" fillId="4" borderId="0" xfId="0" applyFont="1" applyFill="1"/>
    <xf numFmtId="165" fontId="18" fillId="4" borderId="0" xfId="0" applyNumberFormat="1" applyFont="1" applyFill="1" applyAlignment="1">
      <alignment vertical="center"/>
    </xf>
    <xf numFmtId="0" fontId="46" fillId="4" borderId="65" xfId="0" applyFont="1" applyFill="1" applyBorder="1" applyAlignment="1">
      <alignment horizontal="center" vertical="center"/>
    </xf>
    <xf numFmtId="9" fontId="47" fillId="4" borderId="27" xfId="2" applyFont="1" applyFill="1" applyBorder="1" applyAlignment="1">
      <alignment horizontal="center" vertical="center"/>
    </xf>
    <xf numFmtId="0" fontId="25" fillId="4" borderId="27" xfId="0" applyFont="1" applyFill="1" applyBorder="1" applyAlignment="1">
      <alignment horizontal="center" vertical="center"/>
    </xf>
    <xf numFmtId="177" fontId="49" fillId="4" borderId="13" xfId="0" applyNumberFormat="1" applyFont="1" applyFill="1" applyBorder="1" applyAlignment="1">
      <alignment vertical="center"/>
    </xf>
    <xf numFmtId="165" fontId="49" fillId="4" borderId="13" xfId="0" applyNumberFormat="1" applyFont="1" applyFill="1" applyBorder="1" applyAlignment="1">
      <alignment vertical="center"/>
    </xf>
    <xf numFmtId="165" fontId="50" fillId="4" borderId="13" xfId="0" applyNumberFormat="1" applyFont="1" applyFill="1" applyBorder="1" applyAlignment="1">
      <alignment vertical="center"/>
    </xf>
    <xf numFmtId="165" fontId="53" fillId="4" borderId="13" xfId="0" applyNumberFormat="1" applyFont="1" applyFill="1" applyBorder="1" applyAlignment="1">
      <alignment horizontal="center" vertical="center"/>
    </xf>
    <xf numFmtId="165" fontId="53" fillId="4" borderId="13" xfId="0" applyNumberFormat="1" applyFont="1" applyFill="1" applyBorder="1" applyAlignment="1">
      <alignment vertical="center"/>
    </xf>
    <xf numFmtId="0" fontId="53" fillId="4" borderId="8" xfId="0" applyFont="1" applyFill="1" applyBorder="1" applyAlignment="1">
      <alignment vertical="center"/>
    </xf>
    <xf numFmtId="0" fontId="50" fillId="4" borderId="8" xfId="0" applyFont="1" applyFill="1" applyBorder="1" applyAlignment="1">
      <alignment horizontal="center" vertical="center"/>
    </xf>
    <xf numFmtId="0" fontId="50" fillId="4" borderId="8" xfId="0" applyFont="1" applyFill="1" applyBorder="1" applyAlignment="1">
      <alignment vertical="center"/>
    </xf>
    <xf numFmtId="165" fontId="45" fillId="4" borderId="13" xfId="0" applyNumberFormat="1" applyFont="1" applyFill="1" applyBorder="1" applyAlignment="1">
      <alignment vertical="center"/>
    </xf>
    <xf numFmtId="165" fontId="45" fillId="4" borderId="13" xfId="0" applyNumberFormat="1" applyFont="1" applyFill="1" applyBorder="1" applyAlignment="1">
      <alignment horizontal="center" vertical="center"/>
    </xf>
    <xf numFmtId="41" fontId="25" fillId="4" borderId="0" xfId="0" applyNumberFormat="1" applyFont="1" applyFill="1" applyAlignment="1">
      <alignment vertical="center"/>
    </xf>
    <xf numFmtId="0" fontId="9" fillId="4" borderId="0" xfId="0" applyFont="1" applyFill="1" applyAlignment="1">
      <alignment horizontal="center" vertical="center"/>
    </xf>
    <xf numFmtId="0" fontId="9" fillId="4" borderId="0" xfId="0" applyFont="1" applyFill="1" applyAlignment="1">
      <alignment vertical="center"/>
    </xf>
    <xf numFmtId="43" fontId="15" fillId="4" borderId="0" xfId="3" applyNumberFormat="1" applyFont="1" applyFill="1" applyAlignment="1">
      <alignment vertical="center"/>
    </xf>
    <xf numFmtId="0" fontId="15" fillId="4" borderId="0" xfId="48" applyFont="1" applyFill="1" applyAlignment="1">
      <alignment horizontal="center" vertical="center"/>
    </xf>
    <xf numFmtId="165" fontId="9" fillId="4" borderId="0" xfId="3" applyFont="1" applyFill="1"/>
    <xf numFmtId="0" fontId="44" fillId="4" borderId="0" xfId="0" applyFont="1" applyFill="1" applyAlignment="1">
      <alignment horizontal="center"/>
    </xf>
    <xf numFmtId="0" fontId="54" fillId="4" borderId="0" xfId="0" applyFont="1" applyFill="1" applyAlignment="1">
      <alignment horizontal="center"/>
    </xf>
    <xf numFmtId="165" fontId="9" fillId="4" borderId="0" xfId="3" applyFont="1" applyFill="1" applyAlignment="1">
      <alignment horizontal="center"/>
    </xf>
    <xf numFmtId="0" fontId="11" fillId="4" borderId="0" xfId="0" applyFont="1" applyFill="1" applyAlignment="1">
      <alignment horizontal="center"/>
    </xf>
    <xf numFmtId="165" fontId="0" fillId="4" borderId="0" xfId="0" applyNumberFormat="1" applyFill="1"/>
    <xf numFmtId="170" fontId="25" fillId="4" borderId="0" xfId="1" applyNumberFormat="1" applyFont="1" applyFill="1"/>
    <xf numFmtId="0" fontId="15" fillId="4" borderId="0" xfId="0" applyFont="1" applyFill="1" applyAlignment="1">
      <alignment horizontal="center"/>
    </xf>
    <xf numFmtId="0" fontId="15" fillId="4" borderId="0" xfId="0" applyFont="1" applyFill="1"/>
    <xf numFmtId="165" fontId="0" fillId="4" borderId="0" xfId="3" applyFont="1" applyFill="1"/>
    <xf numFmtId="0" fontId="48" fillId="4" borderId="27" xfId="0" applyFont="1" applyFill="1" applyBorder="1" applyAlignment="1">
      <alignment horizontal="center" vertical="center"/>
    </xf>
    <xf numFmtId="176" fontId="48" fillId="4" borderId="27" xfId="10" applyNumberFormat="1" applyFont="1" applyFill="1" applyBorder="1" applyAlignment="1">
      <alignment horizontal="center" vertical="center" wrapText="1"/>
    </xf>
    <xf numFmtId="2" fontId="48" fillId="4" borderId="27" xfId="10" applyNumberFormat="1" applyFont="1" applyFill="1" applyBorder="1" applyAlignment="1">
      <alignment horizontal="center" vertical="center" wrapText="1"/>
    </xf>
    <xf numFmtId="165" fontId="50" fillId="4" borderId="13" xfId="10" applyFont="1" applyFill="1" applyBorder="1" applyAlignment="1">
      <alignment vertical="center" wrapText="1"/>
    </xf>
    <xf numFmtId="165" fontId="25" fillId="4" borderId="0" xfId="3" applyFont="1" applyFill="1" applyAlignment="1">
      <alignment vertical="center"/>
    </xf>
    <xf numFmtId="170" fontId="25" fillId="4" borderId="0" xfId="1" applyNumberFormat="1" applyFont="1" applyFill="1" applyAlignment="1">
      <alignment vertical="center"/>
    </xf>
    <xf numFmtId="0" fontId="25" fillId="4" borderId="0" xfId="0" applyFont="1" applyFill="1" applyAlignment="1">
      <alignment vertical="center"/>
    </xf>
    <xf numFmtId="41" fontId="18" fillId="4" borderId="0" xfId="0" applyNumberFormat="1" applyFont="1" applyFill="1" applyAlignment="1">
      <alignment vertical="center"/>
    </xf>
    <xf numFmtId="170" fontId="46" fillId="4" borderId="0" xfId="1" applyNumberFormat="1" applyFont="1" applyFill="1" applyAlignment="1">
      <alignment vertical="center"/>
    </xf>
    <xf numFmtId="0" fontId="18" fillId="4" borderId="0" xfId="0" applyFont="1" applyFill="1"/>
    <xf numFmtId="165" fontId="46" fillId="4" borderId="0" xfId="3" applyFont="1" applyFill="1" applyAlignment="1">
      <alignment vertical="center"/>
    </xf>
    <xf numFmtId="170" fontId="9" fillId="4" borderId="0" xfId="1" applyNumberFormat="1" applyFont="1" applyFill="1" applyAlignment="1">
      <alignment horizontal="center"/>
    </xf>
    <xf numFmtId="165" fontId="9" fillId="4" borderId="0" xfId="0" applyNumberFormat="1" applyFont="1" applyFill="1" applyAlignment="1">
      <alignment horizontal="center"/>
    </xf>
    <xf numFmtId="176" fontId="13" fillId="4" borderId="0" xfId="3" applyNumberFormat="1" applyFont="1" applyFill="1" applyBorder="1" applyAlignment="1">
      <alignment horizontal="center" vertical="center"/>
    </xf>
    <xf numFmtId="165" fontId="15" fillId="4" borderId="0" xfId="3" applyFont="1" applyFill="1"/>
    <xf numFmtId="165" fontId="15" fillId="4" borderId="0" xfId="0" applyNumberFormat="1" applyFont="1" applyFill="1"/>
    <xf numFmtId="0" fontId="16" fillId="4" borderId="0" xfId="0" applyFont="1" applyFill="1"/>
    <xf numFmtId="0" fontId="25" fillId="4" borderId="0" xfId="0" applyFont="1" applyFill="1" applyAlignment="1">
      <alignment horizontal="right" vertical="center"/>
    </xf>
    <xf numFmtId="0" fontId="18" fillId="4" borderId="0" xfId="48" applyFont="1" applyFill="1"/>
    <xf numFmtId="165" fontId="55" fillId="4" borderId="27" xfId="10" applyFont="1" applyFill="1" applyBorder="1" applyAlignment="1">
      <alignment vertical="center" wrapText="1"/>
    </xf>
    <xf numFmtId="9" fontId="48" fillId="4" borderId="66" xfId="10" applyNumberFormat="1" applyFont="1" applyFill="1" applyBorder="1" applyAlignment="1">
      <alignment horizontal="center" vertical="center" wrapText="1"/>
    </xf>
    <xf numFmtId="9" fontId="48" fillId="4" borderId="27" xfId="56" applyNumberFormat="1" applyFont="1" applyFill="1" applyBorder="1" applyAlignment="1">
      <alignment horizontal="center" vertical="center"/>
    </xf>
    <xf numFmtId="10" fontId="48" fillId="4" borderId="27" xfId="56" applyNumberFormat="1" applyFont="1" applyFill="1" applyBorder="1" applyAlignment="1">
      <alignment horizontal="center" vertical="center"/>
    </xf>
    <xf numFmtId="9" fontId="48" fillId="4" borderId="27" xfId="10" applyNumberFormat="1" applyFont="1" applyFill="1" applyBorder="1" applyAlignment="1">
      <alignment horizontal="center" vertical="center" wrapText="1"/>
    </xf>
    <xf numFmtId="9" fontId="55" fillId="4" borderId="27" xfId="10" applyNumberFormat="1" applyFont="1" applyFill="1" applyBorder="1" applyAlignment="1">
      <alignment vertical="center" wrapText="1"/>
    </xf>
    <xf numFmtId="175" fontId="55" fillId="4" borderId="27" xfId="10" applyNumberFormat="1" applyFont="1" applyFill="1" applyBorder="1" applyAlignment="1">
      <alignment vertical="center" wrapText="1"/>
    </xf>
    <xf numFmtId="165" fontId="49" fillId="4" borderId="13" xfId="10" applyFont="1" applyFill="1" applyBorder="1" applyAlignment="1">
      <alignment vertical="center" wrapText="1"/>
    </xf>
    <xf numFmtId="177" fontId="50" fillId="4" borderId="13" xfId="0" applyNumberFormat="1" applyFont="1" applyFill="1" applyBorder="1" applyAlignment="1">
      <alignment vertical="center"/>
    </xf>
    <xf numFmtId="178" fontId="50" fillId="4" borderId="13" xfId="0" applyNumberFormat="1" applyFont="1" applyFill="1" applyBorder="1" applyAlignment="1">
      <alignment vertical="center"/>
    </xf>
    <xf numFmtId="178" fontId="49" fillId="4" borderId="13" xfId="0" applyNumberFormat="1" applyFont="1" applyFill="1" applyBorder="1" applyAlignment="1">
      <alignment vertical="center"/>
    </xf>
    <xf numFmtId="178" fontId="45" fillId="4" borderId="13" xfId="0" applyNumberFormat="1" applyFont="1" applyFill="1" applyBorder="1" applyAlignment="1">
      <alignment vertical="center"/>
    </xf>
    <xf numFmtId="177" fontId="45" fillId="4" borderId="8" xfId="0" applyNumberFormat="1" applyFont="1" applyFill="1" applyBorder="1" applyAlignment="1">
      <alignment vertical="center"/>
    </xf>
    <xf numFmtId="178" fontId="45" fillId="4" borderId="8" xfId="0" applyNumberFormat="1" applyFont="1" applyFill="1" applyBorder="1" applyAlignment="1">
      <alignment vertical="center"/>
    </xf>
    <xf numFmtId="178" fontId="25" fillId="4" borderId="0" xfId="0" applyNumberFormat="1" applyFont="1" applyFill="1" applyAlignment="1">
      <alignment vertical="center"/>
    </xf>
    <xf numFmtId="41" fontId="46" fillId="4" borderId="0" xfId="0" applyNumberFormat="1" applyFont="1" applyFill="1"/>
    <xf numFmtId="0" fontId="12" fillId="4" borderId="0" xfId="0" applyFont="1" applyFill="1"/>
    <xf numFmtId="176" fontId="12" fillId="4" borderId="0" xfId="3" applyNumberFormat="1" applyFont="1" applyFill="1" applyBorder="1" applyAlignment="1">
      <alignment vertical="center"/>
    </xf>
    <xf numFmtId="176" fontId="12" fillId="4" borderId="0" xfId="3" applyNumberFormat="1" applyFont="1" applyFill="1" applyBorder="1" applyAlignment="1">
      <alignment horizontal="center" vertical="center"/>
    </xf>
    <xf numFmtId="0" fontId="26" fillId="4" borderId="0" xfId="0" applyFont="1" applyFill="1" applyAlignment="1">
      <alignment vertical="center"/>
    </xf>
    <xf numFmtId="0" fontId="12" fillId="4" borderId="0" xfId="0" applyFont="1" applyFill="1" applyAlignment="1">
      <alignment horizontal="left"/>
    </xf>
    <xf numFmtId="175" fontId="45" fillId="4" borderId="13" xfId="0" applyNumberFormat="1" applyFont="1" applyFill="1" applyBorder="1" applyAlignment="1">
      <alignment horizontal="center" vertical="center"/>
    </xf>
    <xf numFmtId="178" fontId="0" fillId="4" borderId="0" xfId="0" applyNumberFormat="1" applyFill="1"/>
    <xf numFmtId="10" fontId="45" fillId="4" borderId="8" xfId="0" applyNumberFormat="1" applyFont="1" applyFill="1" applyBorder="1" applyAlignment="1">
      <alignment horizontal="center" vertical="center"/>
    </xf>
    <xf numFmtId="0" fontId="60" fillId="4" borderId="0" xfId="0" applyFont="1" applyFill="1"/>
    <xf numFmtId="178" fontId="60" fillId="4" borderId="0" xfId="0" applyNumberFormat="1" applyFont="1" applyFill="1"/>
    <xf numFmtId="165" fontId="15" fillId="0" borderId="8" xfId="3" quotePrefix="1" applyFont="1" applyBorder="1" applyAlignment="1">
      <alignment horizontal="center" vertical="center"/>
    </xf>
    <xf numFmtId="165" fontId="15" fillId="0" borderId="13" xfId="3" quotePrefix="1" applyFont="1" applyBorder="1" applyAlignment="1">
      <alignment horizontal="center" vertical="center"/>
    </xf>
    <xf numFmtId="165" fontId="9" fillId="0" borderId="0" xfId="0" applyNumberFormat="1" applyFont="1"/>
    <xf numFmtId="0" fontId="11" fillId="0" borderId="0" xfId="0" applyFont="1" applyAlignment="1">
      <alignment horizontal="center"/>
    </xf>
    <xf numFmtId="0" fontId="21" fillId="0" borderId="0" xfId="0" applyFont="1" applyAlignment="1">
      <alignment horizontal="center" vertical="center"/>
    </xf>
    <xf numFmtId="170" fontId="21" fillId="0" borderId="0" xfId="1" applyNumberFormat="1" applyFont="1" applyFill="1" applyBorder="1" applyAlignment="1"/>
    <xf numFmtId="170" fontId="21" fillId="0" borderId="0" xfId="0" applyNumberFormat="1" applyFont="1" applyAlignment="1">
      <alignment horizontal="center"/>
    </xf>
    <xf numFmtId="0" fontId="22" fillId="0" borderId="0" xfId="0" applyFont="1" applyAlignment="1">
      <alignment horizontal="center" vertical="top" wrapText="1"/>
    </xf>
    <xf numFmtId="165" fontId="53" fillId="4" borderId="0" xfId="0" applyNumberFormat="1" applyFont="1" applyFill="1" applyAlignment="1">
      <alignment vertical="center"/>
    </xf>
    <xf numFmtId="0" fontId="8" fillId="4" borderId="0" xfId="0" applyFont="1" applyFill="1" applyAlignment="1">
      <alignment horizontal="center"/>
    </xf>
    <xf numFmtId="0" fontId="8" fillId="4" borderId="0" xfId="48" applyFont="1" applyFill="1" applyAlignment="1">
      <alignment horizontal="center" vertical="center"/>
    </xf>
    <xf numFmtId="170" fontId="0" fillId="4" borderId="0" xfId="1" applyNumberFormat="1" applyFont="1" applyFill="1"/>
    <xf numFmtId="170" fontId="44" fillId="4" borderId="0" xfId="1" applyNumberFormat="1" applyFont="1" applyFill="1"/>
    <xf numFmtId="170" fontId="11" fillId="4" borderId="0" xfId="1" applyNumberFormat="1" applyFont="1" applyFill="1"/>
    <xf numFmtId="0" fontId="6" fillId="4" borderId="0" xfId="0" applyFont="1" applyFill="1" applyAlignment="1">
      <alignment horizontal="center"/>
    </xf>
    <xf numFmtId="165" fontId="44" fillId="4" borderId="0" xfId="0" applyNumberFormat="1" applyFont="1" applyFill="1"/>
    <xf numFmtId="0" fontId="2" fillId="4" borderId="0" xfId="0" applyFont="1" applyFill="1"/>
    <xf numFmtId="0" fontId="2" fillId="0" borderId="13" xfId="85" applyBorder="1"/>
    <xf numFmtId="0" fontId="2" fillId="0" borderId="0" xfId="85"/>
    <xf numFmtId="0" fontId="2" fillId="0" borderId="13" xfId="85" applyBorder="1" applyAlignment="1">
      <alignment horizontal="center" vertical="center"/>
    </xf>
    <xf numFmtId="0" fontId="2" fillId="0" borderId="13" xfId="85" applyBorder="1" applyAlignment="1">
      <alignment horizontal="left" vertical="center"/>
    </xf>
    <xf numFmtId="0" fontId="2" fillId="0" borderId="13" xfId="85" applyBorder="1" applyAlignment="1">
      <alignment horizontal="center"/>
    </xf>
    <xf numFmtId="0" fontId="16" fillId="4" borderId="20" xfId="0" applyFont="1" applyFill="1" applyBorder="1" applyAlignment="1">
      <alignment horizontal="left" vertical="top" wrapText="1"/>
    </xf>
    <xf numFmtId="0" fontId="16" fillId="4" borderId="10" xfId="0" applyFont="1" applyFill="1" applyBorder="1" applyAlignment="1">
      <alignment horizontal="left" vertical="top" wrapText="1"/>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21" fillId="0" borderId="0" xfId="0" applyFont="1" applyAlignment="1">
      <alignment horizontal="center" vertical="center"/>
    </xf>
    <xf numFmtId="0" fontId="14" fillId="2" borderId="14" xfId="0" applyFont="1" applyFill="1" applyBorder="1" applyAlignment="1">
      <alignment horizontal="center" vertical="center"/>
    </xf>
    <xf numFmtId="0" fontId="14" fillId="2" borderId="15" xfId="0" applyFont="1" applyFill="1" applyBorder="1" applyAlignment="1">
      <alignment horizontal="center" vertical="center"/>
    </xf>
    <xf numFmtId="0" fontId="14" fillId="2" borderId="16" xfId="0" applyFont="1" applyFill="1" applyBorder="1" applyAlignment="1">
      <alignment horizontal="center" vertical="center"/>
    </xf>
    <xf numFmtId="0" fontId="11" fillId="0" borderId="17" xfId="0" applyFont="1" applyBorder="1" applyAlignment="1">
      <alignment horizontal="left" vertical="center"/>
    </xf>
    <xf numFmtId="0" fontId="11" fillId="0" borderId="15" xfId="0" applyFont="1" applyBorder="1" applyAlignment="1">
      <alignment horizontal="left" vertical="center"/>
    </xf>
    <xf numFmtId="0" fontId="11" fillId="0" borderId="18" xfId="0" applyFont="1" applyBorder="1" applyAlignment="1">
      <alignment horizontal="left" vertical="center"/>
    </xf>
    <xf numFmtId="0" fontId="11" fillId="0" borderId="13" xfId="0" applyFont="1" applyBorder="1" applyAlignment="1">
      <alignment horizontal="left"/>
    </xf>
    <xf numFmtId="0" fontId="11" fillId="0" borderId="19" xfId="0" applyFont="1" applyBorder="1" applyAlignment="1">
      <alignment horizontal="left"/>
    </xf>
    <xf numFmtId="0" fontId="15" fillId="0" borderId="20" xfId="0" applyFont="1" applyBorder="1" applyAlignment="1">
      <alignment horizontal="left" vertical="top"/>
    </xf>
    <xf numFmtId="0" fontId="15" fillId="0" borderId="10" xfId="0" applyFont="1" applyBorder="1" applyAlignment="1">
      <alignment horizontal="left" vertical="top"/>
    </xf>
    <xf numFmtId="0" fontId="15" fillId="0" borderId="13" xfId="0" applyFont="1" applyBorder="1" applyAlignment="1">
      <alignment horizontal="left" vertical="top" wrapText="1"/>
    </xf>
    <xf numFmtId="0" fontId="15" fillId="0" borderId="19" xfId="0" applyFont="1" applyBorder="1" applyAlignment="1">
      <alignment horizontal="left" vertical="top" wrapText="1"/>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9" xfId="0" applyFont="1" applyBorder="1" applyAlignment="1">
      <alignment horizontal="left" vertical="center"/>
    </xf>
    <xf numFmtId="0" fontId="16" fillId="4" borderId="10" xfId="0" applyFont="1" applyFill="1" applyBorder="1" applyAlignment="1">
      <alignment horizontal="left" vertical="top"/>
    </xf>
    <xf numFmtId="0" fontId="13" fillId="4" borderId="12" xfId="0" applyFont="1" applyFill="1" applyBorder="1" applyAlignment="1">
      <alignment horizontal="left" vertical="center"/>
    </xf>
    <xf numFmtId="0" fontId="13" fillId="4" borderId="13" xfId="0" applyFont="1" applyFill="1" applyBorder="1" applyAlignment="1">
      <alignment horizontal="left" vertical="center"/>
    </xf>
    <xf numFmtId="0" fontId="13" fillId="4" borderId="14" xfId="0" applyFont="1" applyFill="1" applyBorder="1" applyAlignment="1">
      <alignment horizontal="left"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6" fillId="4" borderId="12" xfId="0" quotePrefix="1" applyFont="1" applyFill="1" applyBorder="1" applyAlignment="1">
      <alignment horizontal="left" vertical="top"/>
    </xf>
    <xf numFmtId="0" fontId="16" fillId="4" borderId="13" xfId="0" applyFont="1" applyFill="1" applyBorder="1" applyAlignment="1">
      <alignment horizontal="left" vertical="top"/>
    </xf>
    <xf numFmtId="0" fontId="16" fillId="4" borderId="14" xfId="0" applyFont="1" applyFill="1" applyBorder="1" applyAlignment="1">
      <alignment horizontal="left" vertical="top"/>
    </xf>
    <xf numFmtId="0" fontId="13" fillId="4" borderId="17" xfId="0" applyFont="1" applyFill="1" applyBorder="1" applyAlignment="1">
      <alignment horizontal="left" vertical="top"/>
    </xf>
    <xf numFmtId="0" fontId="13" fillId="4" borderId="15" xfId="0" applyFont="1" applyFill="1" applyBorder="1" applyAlignment="1">
      <alignment horizontal="left" vertical="top"/>
    </xf>
    <xf numFmtId="0" fontId="61" fillId="4" borderId="17" xfId="4" applyFill="1" applyBorder="1" applyAlignment="1">
      <alignment horizontal="left" vertical="top"/>
    </xf>
    <xf numFmtId="0" fontId="17" fillId="4" borderId="15" xfId="0" applyFont="1" applyFill="1" applyBorder="1" applyAlignment="1">
      <alignment horizontal="left" vertical="top"/>
    </xf>
    <xf numFmtId="0" fontId="11" fillId="2" borderId="12"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19" xfId="0" applyFont="1" applyFill="1" applyBorder="1" applyAlignment="1">
      <alignment horizontal="center" vertical="center"/>
    </xf>
    <xf numFmtId="0" fontId="53" fillId="0" borderId="17" xfId="0" applyFont="1" applyBorder="1" applyAlignment="1">
      <alignment horizontal="left" vertical="justify" wrapText="1"/>
    </xf>
    <xf numFmtId="0" fontId="53" fillId="0" borderId="15" xfId="0" applyFont="1" applyBorder="1" applyAlignment="1">
      <alignment horizontal="left" vertical="justify"/>
    </xf>
    <xf numFmtId="0" fontId="53" fillId="0" borderId="18" xfId="0" applyFont="1" applyBorder="1" applyAlignment="1">
      <alignment horizontal="left" vertical="justify"/>
    </xf>
    <xf numFmtId="0" fontId="15" fillId="0" borderId="13" xfId="0" applyFont="1" applyBorder="1" applyAlignment="1">
      <alignment horizontal="left" vertical="center" wrapText="1"/>
    </xf>
    <xf numFmtId="0" fontId="15" fillId="0" borderId="19" xfId="0" applyFont="1" applyBorder="1" applyAlignment="1">
      <alignment horizontal="left" vertical="center" wrapText="1"/>
    </xf>
    <xf numFmtId="0" fontId="15" fillId="0" borderId="18" xfId="0" applyFont="1" applyBorder="1" applyAlignment="1">
      <alignment horizontal="left" vertical="top" wrapText="1"/>
    </xf>
    <xf numFmtId="0" fontId="15" fillId="0" borderId="14" xfId="0" applyFont="1" applyBorder="1" applyAlignment="1">
      <alignment horizontal="left" vertical="top"/>
    </xf>
    <xf numFmtId="0" fontId="15" fillId="0" borderId="15" xfId="0" applyFont="1" applyBorder="1" applyAlignment="1">
      <alignment horizontal="left" vertical="top"/>
    </xf>
    <xf numFmtId="0" fontId="15" fillId="0" borderId="16" xfId="0" applyFont="1" applyBorder="1" applyAlignment="1">
      <alignment horizontal="left" vertical="top"/>
    </xf>
    <xf numFmtId="0" fontId="15" fillId="0" borderId="13" xfId="0" applyFont="1" applyBorder="1" applyAlignment="1">
      <alignment horizontal="left" vertical="top"/>
    </xf>
    <xf numFmtId="0" fontId="15" fillId="0" borderId="14" xfId="0" applyFont="1" applyBorder="1" applyAlignment="1">
      <alignment horizontal="left" vertical="top" wrapText="1"/>
    </xf>
    <xf numFmtId="0" fontId="15" fillId="0" borderId="15" xfId="0" applyFont="1" applyBorder="1" applyAlignment="1">
      <alignment horizontal="left" vertical="top" wrapText="1"/>
    </xf>
    <xf numFmtId="3" fontId="15" fillId="0" borderId="14" xfId="0" applyNumberFormat="1" applyFont="1" applyBorder="1" applyAlignment="1">
      <alignment horizontal="left" vertical="top" wrapText="1"/>
    </xf>
    <xf numFmtId="3" fontId="15" fillId="0" borderId="15" xfId="0" applyNumberFormat="1" applyFont="1" applyBorder="1" applyAlignment="1">
      <alignment horizontal="left" vertical="top" wrapText="1"/>
    </xf>
    <xf numFmtId="3" fontId="15" fillId="0" borderId="16" xfId="0" applyNumberFormat="1" applyFont="1" applyBorder="1" applyAlignment="1">
      <alignment horizontal="left" vertical="top" wrapText="1"/>
    </xf>
    <xf numFmtId="0" fontId="15" fillId="0" borderId="16" xfId="0" applyFont="1" applyBorder="1" applyAlignment="1">
      <alignment horizontal="left" vertical="top" wrapText="1"/>
    </xf>
    <xf numFmtId="0" fontId="9" fillId="0" borderId="15" xfId="0" applyFont="1" applyBorder="1" applyAlignment="1">
      <alignment horizontal="left" vertical="center"/>
    </xf>
    <xf numFmtId="0" fontId="9" fillId="0" borderId="16" xfId="0" applyFont="1" applyBorder="1" applyAlignment="1">
      <alignment horizontal="left" vertical="center"/>
    </xf>
    <xf numFmtId="168" fontId="15" fillId="4" borderId="28" xfId="0" applyNumberFormat="1" applyFont="1" applyFill="1" applyBorder="1" applyAlignment="1">
      <alignment horizontal="left" vertical="top" wrapText="1"/>
    </xf>
    <xf numFmtId="0" fontId="15" fillId="4" borderId="28" xfId="0" applyFont="1" applyFill="1" applyBorder="1" applyAlignment="1">
      <alignment horizontal="left" vertical="top" wrapText="1"/>
    </xf>
    <xf numFmtId="0" fontId="15" fillId="4" borderId="29" xfId="0" applyFont="1" applyFill="1" applyBorder="1" applyAlignment="1">
      <alignment horizontal="left" vertical="top" wrapText="1"/>
    </xf>
    <xf numFmtId="0" fontId="15" fillId="4" borderId="22" xfId="0" quotePrefix="1" applyFont="1" applyFill="1" applyBorder="1" applyAlignment="1">
      <alignment horizontal="left" vertical="top" wrapText="1"/>
    </xf>
    <xf numFmtId="0" fontId="15" fillId="4" borderId="23" xfId="0" applyFont="1" applyFill="1" applyBorder="1" applyAlignment="1">
      <alignment horizontal="left" vertical="top" wrapText="1"/>
    </xf>
    <xf numFmtId="0" fontId="15" fillId="4" borderId="24" xfId="0" applyFont="1" applyFill="1" applyBorder="1" applyAlignment="1">
      <alignment horizontal="left" vertical="top" wrapText="1"/>
    </xf>
    <xf numFmtId="0" fontId="4" fillId="4" borderId="13" xfId="0" quotePrefix="1" applyFont="1" applyFill="1" applyBorder="1" applyAlignment="1">
      <alignment horizontal="left" vertical="center" wrapText="1"/>
    </xf>
    <xf numFmtId="0" fontId="4" fillId="4" borderId="13" xfId="0" applyFont="1" applyFill="1" applyBorder="1" applyAlignment="1">
      <alignment horizontal="left" vertical="center" wrapText="1"/>
    </xf>
    <xf numFmtId="0" fontId="4" fillId="4" borderId="19" xfId="0" applyFont="1" applyFill="1" applyBorder="1" applyAlignment="1">
      <alignment horizontal="left" vertical="center" wrapText="1"/>
    </xf>
    <xf numFmtId="0" fontId="6"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11" fillId="2" borderId="32" xfId="0" applyFont="1" applyFill="1" applyBorder="1" applyAlignment="1">
      <alignment horizontal="center" vertical="center"/>
    </xf>
    <xf numFmtId="0" fontId="15" fillId="0" borderId="17" xfId="0" applyFont="1" applyBorder="1" applyAlignment="1">
      <alignment horizontal="left" vertical="top" wrapText="1"/>
    </xf>
    <xf numFmtId="0" fontId="15" fillId="0" borderId="17" xfId="0" applyFont="1" applyBorder="1" applyAlignment="1">
      <alignment horizontal="left" vertical="center"/>
    </xf>
    <xf numFmtId="0" fontId="15" fillId="0" borderId="15" xfId="0" applyFont="1" applyBorder="1" applyAlignment="1">
      <alignment horizontal="left" vertical="center"/>
    </xf>
    <xf numFmtId="0" fontId="15" fillId="0" borderId="16" xfId="0" applyFont="1" applyBorder="1" applyAlignment="1">
      <alignment horizontal="left" vertical="center"/>
    </xf>
    <xf numFmtId="0" fontId="7" fillId="0" borderId="17" xfId="0" applyFont="1" applyBorder="1" applyAlignment="1">
      <alignment horizontal="left" vertical="center"/>
    </xf>
    <xf numFmtId="0" fontId="6" fillId="0" borderId="17" xfId="0" applyFont="1" applyBorder="1" applyAlignment="1">
      <alignment horizontal="left" vertical="center"/>
    </xf>
    <xf numFmtId="169" fontId="15" fillId="0" borderId="20" xfId="0" applyNumberFormat="1" applyFont="1" applyBorder="1" applyAlignment="1">
      <alignment horizontal="center" vertical="center"/>
    </xf>
    <xf numFmtId="169" fontId="15" fillId="0" borderId="10" xfId="0" applyNumberFormat="1" applyFont="1" applyBorder="1" applyAlignment="1">
      <alignment horizontal="center" vertical="center"/>
    </xf>
    <xf numFmtId="169" fontId="15" fillId="0" borderId="11" xfId="0" applyNumberFormat="1" applyFont="1" applyBorder="1" applyAlignment="1">
      <alignment horizontal="center" vertical="center"/>
    </xf>
    <xf numFmtId="15" fontId="11" fillId="0" borderId="26" xfId="0" applyNumberFormat="1" applyFont="1" applyBorder="1" applyAlignment="1">
      <alignment horizontal="center" vertical="center"/>
    </xf>
    <xf numFmtId="0" fontId="11" fillId="0" borderId="0" xfId="0" applyFont="1" applyAlignment="1">
      <alignment horizontal="center" vertical="center"/>
    </xf>
    <xf numFmtId="0" fontId="19" fillId="0" borderId="12" xfId="0" applyFont="1" applyBorder="1" applyAlignment="1">
      <alignment horizontal="left" vertical="top" wrapText="1"/>
    </xf>
    <xf numFmtId="0" fontId="19" fillId="0" borderId="13" xfId="0" applyFont="1" applyBorder="1" applyAlignment="1">
      <alignment horizontal="left" vertical="top" wrapText="1"/>
    </xf>
    <xf numFmtId="0" fontId="19" fillId="0" borderId="19" xfId="0" applyFont="1" applyBorder="1" applyAlignment="1">
      <alignment horizontal="left" vertical="top" wrapText="1"/>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19" xfId="0" applyFont="1" applyBorder="1" applyAlignment="1">
      <alignment horizontal="left" vertical="center"/>
    </xf>
    <xf numFmtId="0" fontId="23" fillId="2" borderId="28" xfId="0" applyFont="1" applyFill="1" applyBorder="1" applyAlignment="1">
      <alignment horizontal="center" vertical="top" wrapText="1"/>
    </xf>
    <xf numFmtId="0" fontId="9" fillId="0" borderId="26" xfId="0" applyFont="1" applyBorder="1" applyAlignment="1">
      <alignment horizontal="center"/>
    </xf>
    <xf numFmtId="0" fontId="9" fillId="0" borderId="0" xfId="0" applyFont="1" applyAlignment="1">
      <alignment horizontal="center"/>
    </xf>
    <xf numFmtId="0" fontId="9" fillId="0" borderId="25" xfId="0" applyFont="1" applyBorder="1" applyAlignment="1">
      <alignment horizontal="center"/>
    </xf>
    <xf numFmtId="0" fontId="9" fillId="0" borderId="34" xfId="0" applyFont="1" applyBorder="1" applyAlignment="1">
      <alignment horizontal="center"/>
    </xf>
    <xf numFmtId="0" fontId="9" fillId="0" borderId="35" xfId="0" applyFont="1" applyBorder="1" applyAlignment="1">
      <alignment horizontal="center"/>
    </xf>
    <xf numFmtId="0" fontId="9" fillId="0" borderId="36" xfId="0" applyFont="1" applyBorder="1" applyAlignment="1">
      <alignment horizontal="center"/>
    </xf>
    <xf numFmtId="0" fontId="9" fillId="0" borderId="4" xfId="0" applyFont="1" applyBorder="1" applyAlignment="1">
      <alignment horizontal="left" wrapText="1"/>
    </xf>
    <xf numFmtId="0" fontId="9" fillId="0" borderId="5" xfId="0" applyFont="1" applyBorder="1" applyAlignment="1">
      <alignment horizontal="left" wrapText="1"/>
    </xf>
    <xf numFmtId="0" fontId="9" fillId="0" borderId="33" xfId="0" applyFont="1" applyBorder="1" applyAlignment="1">
      <alignment horizontal="left" wrapText="1"/>
    </xf>
    <xf numFmtId="0" fontId="11" fillId="0" borderId="4" xfId="0" applyFont="1" applyBorder="1" applyAlignment="1">
      <alignment horizontal="left" vertical="center" wrapText="1"/>
    </xf>
    <xf numFmtId="0" fontId="11" fillId="0" borderId="7" xfId="0" applyFont="1" applyBorder="1" applyAlignment="1">
      <alignment horizontal="left" vertical="center" wrapText="1"/>
    </xf>
    <xf numFmtId="0" fontId="11" fillId="0" borderId="30" xfId="0" applyFont="1" applyBorder="1" applyAlignment="1">
      <alignment horizontal="left" vertical="center" wrapText="1"/>
    </xf>
    <xf numFmtId="0" fontId="11" fillId="0" borderId="31" xfId="0" applyFont="1" applyBorder="1" applyAlignment="1">
      <alignment horizontal="left" vertical="center" wrapText="1"/>
    </xf>
    <xf numFmtId="0" fontId="9" fillId="0" borderId="5" xfId="0" applyFont="1" applyBorder="1" applyAlignment="1">
      <alignment horizontal="center" vertical="center"/>
    </xf>
    <xf numFmtId="0" fontId="9" fillId="0" borderId="8" xfId="0" applyFont="1" applyBorder="1" applyAlignment="1">
      <alignment horizontal="center" vertical="center"/>
    </xf>
    <xf numFmtId="0" fontId="15" fillId="0" borderId="13" xfId="0" applyFont="1" applyBorder="1" applyAlignment="1">
      <alignment horizontal="center" vertical="center" wrapText="1"/>
    </xf>
    <xf numFmtId="0" fontId="15" fillId="0" borderId="21" xfId="0" applyFont="1" applyBorder="1" applyAlignment="1">
      <alignment horizontal="center" vertical="center"/>
    </xf>
    <xf numFmtId="0" fontId="15" fillId="0" borderId="9" xfId="0" applyFont="1" applyBorder="1" applyAlignment="1">
      <alignment horizontal="center" vertical="center"/>
    </xf>
    <xf numFmtId="41" fontId="15" fillId="0" borderId="13" xfId="3" applyNumberFormat="1" applyFont="1" applyFill="1" applyBorder="1" applyAlignment="1">
      <alignment horizontal="center" vertical="top" wrapText="1"/>
    </xf>
    <xf numFmtId="0" fontId="13" fillId="0" borderId="6"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wrapText="1"/>
    </xf>
    <xf numFmtId="0" fontId="11" fillId="0" borderId="11" xfId="0" applyFont="1" applyBorder="1" applyAlignment="1">
      <alignment horizontal="left" vertical="center" wrapText="1"/>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1" xfId="0" applyFont="1" applyBorder="1" applyAlignment="1">
      <alignment horizontal="center" vertical="center"/>
    </xf>
    <xf numFmtId="0" fontId="7" fillId="0" borderId="0" xfId="0" applyFont="1" applyAlignment="1">
      <alignment horizontal="center" vertical="center"/>
    </xf>
    <xf numFmtId="0" fontId="7" fillId="0" borderId="25"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11" fillId="4" borderId="0" xfId="48" applyFont="1" applyFill="1" applyAlignment="1">
      <alignment horizontal="center" vertical="center"/>
    </xf>
    <xf numFmtId="0" fontId="11" fillId="4" borderId="0" xfId="0" applyFont="1" applyFill="1" applyAlignment="1">
      <alignment horizontal="center" vertical="center"/>
    </xf>
    <xf numFmtId="0" fontId="11" fillId="4" borderId="65" xfId="0" applyFont="1" applyFill="1" applyBorder="1" applyAlignment="1">
      <alignment horizontal="center" vertical="center"/>
    </xf>
    <xf numFmtId="0" fontId="11" fillId="4" borderId="65" xfId="0" applyFont="1" applyFill="1" applyBorder="1" applyAlignment="1">
      <alignment horizontal="center"/>
    </xf>
    <xf numFmtId="0" fontId="45" fillId="4" borderId="9" xfId="0" applyFont="1" applyFill="1" applyBorder="1" applyAlignment="1">
      <alignment horizontal="center" vertical="center"/>
    </xf>
    <xf numFmtId="0" fontId="45" fillId="4" borderId="60" xfId="0" applyFont="1" applyFill="1" applyBorder="1" applyAlignment="1">
      <alignment horizontal="center" vertical="center"/>
    </xf>
    <xf numFmtId="0" fontId="45" fillId="4" borderId="14" xfId="0" applyFont="1" applyFill="1" applyBorder="1" applyAlignment="1">
      <alignment horizontal="center" vertical="center"/>
    </xf>
    <xf numFmtId="0" fontId="45" fillId="4" borderId="18" xfId="0" applyFont="1" applyFill="1" applyBorder="1" applyAlignment="1">
      <alignment horizontal="center" vertical="center"/>
    </xf>
    <xf numFmtId="0" fontId="18" fillId="4" borderId="0" xfId="0" applyFont="1" applyFill="1" applyAlignment="1">
      <alignment horizontal="right" vertical="center"/>
    </xf>
    <xf numFmtId="0" fontId="32" fillId="0" borderId="0" xfId="0" applyFont="1" applyAlignment="1">
      <alignment horizontal="center"/>
    </xf>
    <xf numFmtId="0" fontId="45" fillId="4" borderId="65" xfId="0" applyFont="1" applyFill="1" applyBorder="1" applyAlignment="1">
      <alignment horizontal="center" vertical="center" wrapText="1"/>
    </xf>
    <xf numFmtId="0" fontId="18" fillId="4" borderId="65" xfId="0" applyFont="1" applyFill="1" applyBorder="1" applyAlignment="1">
      <alignment horizontal="center" vertical="center" wrapText="1"/>
    </xf>
    <xf numFmtId="0" fontId="45" fillId="4" borderId="65" xfId="76" applyFont="1" applyFill="1" applyBorder="1" applyAlignment="1">
      <alignment horizontal="center" vertical="center" wrapText="1"/>
    </xf>
    <xf numFmtId="0" fontId="46" fillId="4" borderId="65" xfId="76" applyFont="1" applyFill="1" applyBorder="1" applyAlignment="1">
      <alignment horizontal="center" vertical="center" wrapText="1"/>
    </xf>
    <xf numFmtId="0" fontId="18" fillId="4" borderId="65" xfId="76" applyFont="1" applyFill="1" applyBorder="1" applyAlignment="1">
      <alignment horizontal="center" vertical="center" wrapText="1"/>
    </xf>
    <xf numFmtId="0" fontId="46" fillId="4" borderId="65" xfId="0" applyFont="1" applyFill="1" applyBorder="1" applyAlignment="1">
      <alignment horizontal="center" vertical="center" wrapText="1"/>
    </xf>
    <xf numFmtId="0" fontId="56" fillId="4" borderId="65" xfId="0" applyFont="1" applyFill="1" applyBorder="1" applyAlignment="1">
      <alignment horizontal="center" vertical="center" wrapText="1"/>
    </xf>
    <xf numFmtId="0" fontId="57" fillId="4" borderId="65" xfId="0" applyFont="1" applyFill="1" applyBorder="1" applyAlignment="1">
      <alignment horizontal="center" vertical="center" wrapText="1"/>
    </xf>
    <xf numFmtId="0" fontId="45" fillId="4" borderId="65" xfId="48" applyFont="1" applyFill="1" applyBorder="1" applyAlignment="1">
      <alignment horizontal="center" vertical="center" wrapText="1"/>
    </xf>
    <xf numFmtId="165" fontId="58" fillId="4" borderId="65" xfId="10" applyFont="1" applyFill="1" applyBorder="1" applyAlignment="1">
      <alignment horizontal="center" vertical="center" wrapText="1"/>
    </xf>
    <xf numFmtId="165" fontId="59" fillId="4" borderId="65" xfId="10" applyFont="1" applyFill="1" applyBorder="1" applyAlignment="1">
      <alignment horizontal="center" vertical="center" wrapText="1"/>
    </xf>
    <xf numFmtId="165" fontId="49" fillId="4" borderId="65" xfId="10" applyFont="1" applyFill="1" applyBorder="1" applyAlignment="1">
      <alignment horizontal="center" vertical="center" wrapText="1"/>
    </xf>
    <xf numFmtId="165" fontId="55" fillId="4" borderId="65" xfId="10" applyFont="1" applyFill="1" applyBorder="1" applyAlignment="1">
      <alignment horizontal="center" vertical="center" wrapText="1"/>
    </xf>
    <xf numFmtId="0" fontId="55" fillId="4" borderId="65" xfId="10" applyNumberFormat="1" applyFont="1" applyFill="1" applyBorder="1" applyAlignment="1">
      <alignment horizontal="center" vertical="center" wrapText="1"/>
    </xf>
    <xf numFmtId="0" fontId="23" fillId="4" borderId="0" xfId="0" applyFont="1" applyFill="1" applyAlignment="1">
      <alignment horizontal="center"/>
    </xf>
    <xf numFmtId="165" fontId="23" fillId="4" borderId="0" xfId="0" applyNumberFormat="1" applyFont="1" applyFill="1" applyAlignment="1">
      <alignment horizontal="center"/>
    </xf>
    <xf numFmtId="166" fontId="18" fillId="4" borderId="0" xfId="0" applyNumberFormat="1" applyFont="1" applyFill="1" applyAlignment="1">
      <alignment horizontal="left" vertical="center" wrapText="1"/>
    </xf>
    <xf numFmtId="0" fontId="18" fillId="4" borderId="7" xfId="0" applyFont="1" applyFill="1" applyBorder="1" applyAlignment="1">
      <alignment horizontal="center" vertical="center"/>
    </xf>
    <xf numFmtId="0" fontId="18" fillId="4" borderId="8" xfId="0" applyFont="1" applyFill="1" applyBorder="1" applyAlignment="1">
      <alignment horizontal="center" vertical="center"/>
    </xf>
    <xf numFmtId="0" fontId="18" fillId="4" borderId="9" xfId="0" applyFont="1" applyFill="1" applyBorder="1" applyAlignment="1">
      <alignment horizontal="center" vertical="center"/>
    </xf>
    <xf numFmtId="165" fontId="41" fillId="4" borderId="42" xfId="3" applyFont="1" applyFill="1" applyBorder="1" applyAlignment="1">
      <alignment horizontal="center" vertical="center"/>
    </xf>
    <xf numFmtId="165" fontId="41" fillId="4" borderId="57" xfId="3" applyFont="1" applyFill="1" applyBorder="1" applyAlignment="1">
      <alignment horizontal="center" vertical="center"/>
    </xf>
    <xf numFmtId="0" fontId="18" fillId="4" borderId="0" xfId="0" applyFont="1" applyFill="1" applyAlignment="1">
      <alignment horizontal="center" vertical="center"/>
    </xf>
    <xf numFmtId="0" fontId="18" fillId="4" borderId="0" xfId="0" applyFont="1" applyFill="1" applyAlignment="1">
      <alignment horizontal="left" vertical="center"/>
    </xf>
    <xf numFmtId="165" fontId="18" fillId="4" borderId="7" xfId="3" applyFont="1" applyFill="1" applyBorder="1" applyAlignment="1">
      <alignment horizontal="center" vertical="center"/>
    </xf>
    <xf numFmtId="165" fontId="18" fillId="4" borderId="8" xfId="3" applyFont="1" applyFill="1" applyBorder="1" applyAlignment="1">
      <alignment horizontal="center" vertical="center"/>
    </xf>
    <xf numFmtId="165" fontId="18" fillId="4" borderId="9" xfId="3" applyFont="1" applyFill="1" applyBorder="1" applyAlignment="1">
      <alignment horizontal="center" vertical="center"/>
    </xf>
    <xf numFmtId="165" fontId="41" fillId="4" borderId="42" xfId="3" applyFont="1" applyFill="1" applyBorder="1" applyAlignment="1">
      <alignment horizontal="right" vertical="center"/>
    </xf>
    <xf numFmtId="165" fontId="41" fillId="4" borderId="57" xfId="3" applyFont="1" applyFill="1" applyBorder="1" applyAlignment="1">
      <alignment horizontal="right" vertical="center"/>
    </xf>
    <xf numFmtId="0" fontId="41" fillId="6" borderId="34" xfId="57" applyFont="1" applyFill="1" applyBorder="1" applyAlignment="1">
      <alignment horizontal="right" vertical="center"/>
    </xf>
    <xf numFmtId="0" fontId="41" fillId="6" borderId="58" xfId="57" applyFont="1" applyFill="1" applyBorder="1" applyAlignment="1">
      <alignment horizontal="right" vertical="center"/>
    </xf>
    <xf numFmtId="0" fontId="9" fillId="0" borderId="0" xfId="69" applyAlignment="1">
      <alignment horizontal="center"/>
    </xf>
    <xf numFmtId="0" fontId="9" fillId="0" borderId="0" xfId="69"/>
    <xf numFmtId="0" fontId="39" fillId="0" borderId="0" xfId="69" applyFont="1" applyAlignment="1">
      <alignment horizontal="center"/>
    </xf>
    <xf numFmtId="0" fontId="29" fillId="0" borderId="0" xfId="0" applyFont="1" applyAlignment="1">
      <alignment horizontal="center"/>
    </xf>
    <xf numFmtId="0" fontId="29" fillId="0" borderId="0" xfId="0" applyFont="1" applyAlignment="1">
      <alignment horizontal="center" wrapText="1"/>
    </xf>
    <xf numFmtId="0" fontId="28" fillId="0" borderId="13" xfId="0" applyFont="1" applyBorder="1" applyAlignment="1">
      <alignment horizontal="right"/>
    </xf>
    <xf numFmtId="0" fontId="29" fillId="0" borderId="13" xfId="0" applyFont="1" applyBorder="1" applyAlignment="1">
      <alignment horizontal="right"/>
    </xf>
    <xf numFmtId="0" fontId="24" fillId="0" borderId="0" xfId="0" applyFont="1" applyAlignment="1">
      <alignment horizontal="center"/>
    </xf>
    <xf numFmtId="0" fontId="11" fillId="0" borderId="0" xfId="0" applyFont="1" applyAlignment="1">
      <alignment horizontal="center"/>
    </xf>
    <xf numFmtId="0" fontId="27" fillId="0" borderId="44" xfId="0" applyFont="1" applyBorder="1" applyAlignment="1">
      <alignment horizontal="center" vertical="center"/>
    </xf>
    <xf numFmtId="0" fontId="27" fillId="0" borderId="46" xfId="0" applyFont="1" applyBorder="1" applyAlignment="1">
      <alignment horizontal="center" vertical="center"/>
    </xf>
    <xf numFmtId="0" fontId="11" fillId="0" borderId="44" xfId="0" applyFont="1" applyBorder="1" applyAlignment="1">
      <alignment horizontal="center" vertical="center"/>
    </xf>
    <xf numFmtId="0" fontId="11" fillId="0" borderId="37"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30" xfId="0" applyFont="1" applyBorder="1" applyAlignment="1">
      <alignment horizontal="center" vertical="center" wrapText="1"/>
    </xf>
    <xf numFmtId="165" fontId="11" fillId="0" borderId="39" xfId="3" applyFont="1" applyBorder="1" applyAlignment="1">
      <alignment horizontal="center" vertical="center" wrapText="1"/>
    </xf>
    <xf numFmtId="165" fontId="11" fillId="0" borderId="28" xfId="3" applyFont="1" applyBorder="1" applyAlignment="1">
      <alignment horizontal="center" vertical="center" wrapText="1"/>
    </xf>
    <xf numFmtId="0" fontId="11" fillId="0" borderId="39" xfId="0" applyFont="1" applyBorder="1" applyAlignment="1">
      <alignment horizontal="center" vertical="center" wrapText="1"/>
    </xf>
    <xf numFmtId="0" fontId="11" fillId="0" borderId="28" xfId="0" applyFont="1" applyBorder="1" applyAlignment="1">
      <alignment horizontal="center" vertical="center" wrapText="1"/>
    </xf>
    <xf numFmtId="0" fontId="68" fillId="8" borderId="13" xfId="0" applyFont="1" applyFill="1" applyBorder="1" applyAlignment="1">
      <alignment horizontal="center" vertical="center" wrapText="1"/>
    </xf>
    <xf numFmtId="0" fontId="69" fillId="9" borderId="13" xfId="0" applyFont="1" applyFill="1" applyBorder="1" applyAlignment="1">
      <alignment horizontal="center" vertical="center"/>
    </xf>
    <xf numFmtId="0" fontId="69" fillId="9" borderId="13" xfId="0" applyFont="1" applyFill="1" applyBorder="1" applyAlignment="1">
      <alignment vertical="center" wrapText="1"/>
    </xf>
    <xf numFmtId="3" fontId="69" fillId="9" borderId="13" xfId="0" applyNumberFormat="1" applyFont="1" applyFill="1" applyBorder="1" applyAlignment="1">
      <alignment horizontal="center" vertical="center"/>
    </xf>
    <xf numFmtId="179" fontId="69" fillId="9" borderId="13" xfId="0" applyNumberFormat="1" applyFont="1" applyFill="1" applyBorder="1" applyAlignment="1">
      <alignment horizontal="center" vertical="center"/>
    </xf>
    <xf numFmtId="0" fontId="69" fillId="10" borderId="13" xfId="0" applyFont="1" applyFill="1" applyBorder="1" applyAlignment="1">
      <alignment horizontal="center" vertical="center"/>
    </xf>
    <xf numFmtId="0" fontId="69" fillId="10" borderId="13" xfId="0" applyFont="1" applyFill="1" applyBorder="1" applyAlignment="1">
      <alignment vertical="center" wrapText="1"/>
    </xf>
    <xf numFmtId="3" fontId="69" fillId="10" borderId="13" xfId="0" applyNumberFormat="1" applyFont="1" applyFill="1" applyBorder="1" applyAlignment="1">
      <alignment horizontal="center" vertical="center"/>
    </xf>
    <xf numFmtId="179" fontId="69" fillId="10" borderId="13" xfId="0" applyNumberFormat="1" applyFont="1" applyFill="1" applyBorder="1" applyAlignment="1">
      <alignment horizontal="center" vertical="center"/>
    </xf>
    <xf numFmtId="0" fontId="1" fillId="4" borderId="0" xfId="0" applyFont="1" applyFill="1" applyAlignment="1">
      <alignment horizontal="center"/>
    </xf>
    <xf numFmtId="0" fontId="1" fillId="0" borderId="14" xfId="0" applyFont="1" applyBorder="1" applyAlignment="1">
      <alignment horizontal="left" vertical="center"/>
    </xf>
  </cellXfs>
  <cellStyles count="87">
    <cellStyle name="Comma" xfId="1" builtinId="3"/>
    <cellStyle name="Comma [0]" xfId="3" builtinId="6"/>
    <cellStyle name="Comma [0] 10" xfId="5" xr:uid="{00000000-0005-0000-0000-000031000000}"/>
    <cellStyle name="Comma [0] 10 2" xfId="6" xr:uid="{00000000-0005-0000-0000-000032000000}"/>
    <cellStyle name="Comma [0] 15 2" xfId="7" xr:uid="{00000000-0005-0000-0000-000033000000}"/>
    <cellStyle name="Comma [0] 2" xfId="8" xr:uid="{00000000-0005-0000-0000-000034000000}"/>
    <cellStyle name="Comma [0] 2 10" xfId="9" xr:uid="{00000000-0005-0000-0000-000035000000}"/>
    <cellStyle name="Comma [0] 2 2" xfId="10" xr:uid="{00000000-0005-0000-0000-000036000000}"/>
    <cellStyle name="Comma [0] 2 2 6" xfId="11" xr:uid="{00000000-0005-0000-0000-000037000000}"/>
    <cellStyle name="Comma [0] 2 3" xfId="12" xr:uid="{00000000-0005-0000-0000-000038000000}"/>
    <cellStyle name="Comma [0] 3" xfId="13" xr:uid="{00000000-0005-0000-0000-000039000000}"/>
    <cellStyle name="Comma [0] 3 2" xfId="14" xr:uid="{00000000-0005-0000-0000-00003A000000}"/>
    <cellStyle name="Comma [0] 4" xfId="15" xr:uid="{00000000-0005-0000-0000-00003B000000}"/>
    <cellStyle name="Comma [0] 4 3" xfId="16" xr:uid="{00000000-0005-0000-0000-00003C000000}"/>
    <cellStyle name="Comma [0] 5" xfId="17" xr:uid="{00000000-0005-0000-0000-00003D000000}"/>
    <cellStyle name="Comma [0] 6" xfId="18" xr:uid="{00000000-0005-0000-0000-00003E000000}"/>
    <cellStyle name="Comma 10" xfId="19" xr:uid="{00000000-0005-0000-0000-00003F000000}"/>
    <cellStyle name="Comma 11" xfId="20" xr:uid="{00000000-0005-0000-0000-000040000000}"/>
    <cellStyle name="Comma 12" xfId="21" xr:uid="{00000000-0005-0000-0000-000041000000}"/>
    <cellStyle name="Comma 13" xfId="22" xr:uid="{00000000-0005-0000-0000-000042000000}"/>
    <cellStyle name="Comma 14" xfId="23" xr:uid="{00000000-0005-0000-0000-000043000000}"/>
    <cellStyle name="Comma 15" xfId="24" xr:uid="{00000000-0005-0000-0000-000044000000}"/>
    <cellStyle name="Comma 16" xfId="25" xr:uid="{00000000-0005-0000-0000-000045000000}"/>
    <cellStyle name="Comma 17" xfId="26" xr:uid="{00000000-0005-0000-0000-000046000000}"/>
    <cellStyle name="Comma 18" xfId="27" xr:uid="{00000000-0005-0000-0000-000047000000}"/>
    <cellStyle name="Comma 19" xfId="28" xr:uid="{00000000-0005-0000-0000-000048000000}"/>
    <cellStyle name="Comma 2" xfId="29" xr:uid="{00000000-0005-0000-0000-000049000000}"/>
    <cellStyle name="Comma 2 2" xfId="30" xr:uid="{00000000-0005-0000-0000-00004A000000}"/>
    <cellStyle name="Comma 2 3" xfId="31" xr:uid="{00000000-0005-0000-0000-00004B000000}"/>
    <cellStyle name="Comma 20" xfId="32" xr:uid="{00000000-0005-0000-0000-00004C000000}"/>
    <cellStyle name="Comma 21" xfId="33" xr:uid="{00000000-0005-0000-0000-00004D000000}"/>
    <cellStyle name="Comma 22" xfId="84" xr:uid="{E6F85FE1-9426-4BE2-B1D9-ECD75E66CEB0}"/>
    <cellStyle name="Comma 23" xfId="86" xr:uid="{39942CEE-ABDF-41F9-ACD0-43CCB15DFD4A}"/>
    <cellStyle name="Comma 3" xfId="34" xr:uid="{00000000-0005-0000-0000-00004E000000}"/>
    <cellStyle name="Comma 3 2" xfId="35" xr:uid="{00000000-0005-0000-0000-00004F000000}"/>
    <cellStyle name="Comma 4" xfId="36" xr:uid="{00000000-0005-0000-0000-000050000000}"/>
    <cellStyle name="Comma 4 2" xfId="37" xr:uid="{00000000-0005-0000-0000-000051000000}"/>
    <cellStyle name="Comma 5" xfId="38" xr:uid="{00000000-0005-0000-0000-000052000000}"/>
    <cellStyle name="Comma 6" xfId="39" xr:uid="{00000000-0005-0000-0000-000053000000}"/>
    <cellStyle name="Comma 6 2" xfId="40" xr:uid="{00000000-0005-0000-0000-000054000000}"/>
    <cellStyle name="Comma 6 3" xfId="41" xr:uid="{00000000-0005-0000-0000-000055000000}"/>
    <cellStyle name="Comma 7" xfId="42" xr:uid="{00000000-0005-0000-0000-000056000000}"/>
    <cellStyle name="Comma 8" xfId="43" xr:uid="{00000000-0005-0000-0000-000057000000}"/>
    <cellStyle name="Comma 9" xfId="44" xr:uid="{00000000-0005-0000-0000-000058000000}"/>
    <cellStyle name="Currency [0] 2" xfId="45" xr:uid="{00000000-0005-0000-0000-000059000000}"/>
    <cellStyle name="Excel Built-in Comma [0]" xfId="46" xr:uid="{00000000-0005-0000-0000-00005A000000}"/>
    <cellStyle name="Excel Built-in Normal" xfId="47" xr:uid="{00000000-0005-0000-0000-00005B000000}"/>
    <cellStyle name="Hyperlink" xfId="4" builtinId="8"/>
    <cellStyle name="Normal" xfId="0" builtinId="0"/>
    <cellStyle name="Normal 10" xfId="85" xr:uid="{5499C278-9A25-41F6-9803-BD8262005AE8}"/>
    <cellStyle name="Normal 12" xfId="48" xr:uid="{00000000-0005-0000-0000-00005C000000}"/>
    <cellStyle name="Normal 15" xfId="49" xr:uid="{00000000-0005-0000-0000-00005D000000}"/>
    <cellStyle name="Normal 15 10 2 2 2" xfId="50" xr:uid="{00000000-0005-0000-0000-00005E000000}"/>
    <cellStyle name="Normal 15 14" xfId="51" xr:uid="{00000000-0005-0000-0000-00005F000000}"/>
    <cellStyle name="Normal 15 14 2 2" xfId="52" xr:uid="{00000000-0005-0000-0000-000060000000}"/>
    <cellStyle name="Normal 15 14 2 3" xfId="53" xr:uid="{00000000-0005-0000-0000-000061000000}"/>
    <cellStyle name="Normal 16" xfId="54" xr:uid="{00000000-0005-0000-0000-000062000000}"/>
    <cellStyle name="Normal 16 6" xfId="55" xr:uid="{00000000-0005-0000-0000-000063000000}"/>
    <cellStyle name="Normal 16 7" xfId="56" xr:uid="{00000000-0005-0000-0000-000064000000}"/>
    <cellStyle name="Normal 2" xfId="57" xr:uid="{00000000-0005-0000-0000-000065000000}"/>
    <cellStyle name="Normal 2 2" xfId="58" xr:uid="{00000000-0005-0000-0000-000066000000}"/>
    <cellStyle name="Normal 2 2 2" xfId="59" xr:uid="{00000000-0005-0000-0000-000067000000}"/>
    <cellStyle name="Normal 2 2 3" xfId="60" xr:uid="{00000000-0005-0000-0000-000068000000}"/>
    <cellStyle name="Normal 2 3" xfId="61" xr:uid="{00000000-0005-0000-0000-000069000000}"/>
    <cellStyle name="Normal 2 3 2" xfId="62" xr:uid="{00000000-0005-0000-0000-00006A000000}"/>
    <cellStyle name="Normal 2 4" xfId="63" xr:uid="{00000000-0005-0000-0000-00006B000000}"/>
    <cellStyle name="Normal 2 5" xfId="64" xr:uid="{00000000-0005-0000-0000-00006C000000}"/>
    <cellStyle name="Normal 3" xfId="65" xr:uid="{00000000-0005-0000-0000-00006D000000}"/>
    <cellStyle name="Normal 3 2" xfId="66" xr:uid="{00000000-0005-0000-0000-00006E000000}"/>
    <cellStyle name="Normal 3 2 2" xfId="67" xr:uid="{00000000-0005-0000-0000-00006F000000}"/>
    <cellStyle name="Normal 3 3" xfId="68" xr:uid="{00000000-0005-0000-0000-000070000000}"/>
    <cellStyle name="Normal 4" xfId="69" xr:uid="{00000000-0005-0000-0000-000071000000}"/>
    <cellStyle name="Normal 4 2" xfId="70" xr:uid="{00000000-0005-0000-0000-000072000000}"/>
    <cellStyle name="Normal 5" xfId="71" xr:uid="{00000000-0005-0000-0000-000073000000}"/>
    <cellStyle name="Normal 5 7" xfId="72" xr:uid="{00000000-0005-0000-0000-000074000000}"/>
    <cellStyle name="Normal 6" xfId="73" xr:uid="{00000000-0005-0000-0000-000075000000}"/>
    <cellStyle name="Normal 6 3" xfId="74" xr:uid="{00000000-0005-0000-0000-000076000000}"/>
    <cellStyle name="Normal 6 7" xfId="75" xr:uid="{00000000-0005-0000-0000-000077000000}"/>
    <cellStyle name="Normal 7" xfId="76" xr:uid="{00000000-0005-0000-0000-000078000000}"/>
    <cellStyle name="Normal 72" xfId="77" xr:uid="{00000000-0005-0000-0000-000079000000}"/>
    <cellStyle name="Normal 73" xfId="78" xr:uid="{00000000-0005-0000-0000-00007A000000}"/>
    <cellStyle name="Normal 8" xfId="82" xr:uid="{B624744B-F53F-4C15-96AB-9FDF3ACB7667}"/>
    <cellStyle name="Normal 9" xfId="83" xr:uid="{691944B5-5913-41B3-A7AA-07E67B411314}"/>
    <cellStyle name="Percent" xfId="2" builtinId="5"/>
    <cellStyle name="Percent 2" xfId="79" xr:uid="{00000000-0005-0000-0000-00007B000000}"/>
    <cellStyle name="Percent 3" xfId="80" xr:uid="{00000000-0005-0000-0000-00007C000000}"/>
    <cellStyle name="TableStyleLight1" xfId="81" xr:uid="{00000000-0005-0000-0000-00007D000000}"/>
  </cellStyles>
  <dxfs count="0"/>
  <tableStyles count="0" defaultTableStyle="TableStyleMedium2" defaultPivotStyle="PivotStyleLight16"/>
  <colors>
    <mruColors>
      <color rgb="FF66FFFF"/>
      <color rgb="FF3366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2287270</xdr:colOff>
      <xdr:row>1</xdr:row>
      <xdr:rowOff>154940</xdr:rowOff>
    </xdr:from>
    <xdr:to>
      <xdr:col>7</xdr:col>
      <xdr:colOff>3059430</xdr:colOff>
      <xdr:row>1</xdr:row>
      <xdr:rowOff>774700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0586720" y="348615"/>
          <a:ext cx="772160" cy="619760"/>
        </a:xfrm>
        <a:prstGeom prst="rect">
          <a:avLst/>
        </a:prstGeom>
        <a:noFill/>
        <a:ln w="9525">
          <a:noFill/>
        </a:ln>
      </xdr:spPr>
    </xdr:pic>
    <xdr:clientData/>
  </xdr:twoCellAnchor>
  <xdr:twoCellAnchor editAs="oneCell">
    <xdr:from>
      <xdr:col>1</xdr:col>
      <xdr:colOff>46990</xdr:colOff>
      <xdr:row>1</xdr:row>
      <xdr:rowOff>58420</xdr:rowOff>
    </xdr:from>
    <xdr:to>
      <xdr:col>1</xdr:col>
      <xdr:colOff>1612900</xdr:colOff>
      <xdr:row>1</xdr:row>
      <xdr:rowOff>701675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693330" y="242117"/>
          <a:ext cx="1565910" cy="643255"/>
        </a:xfrm>
        <a:prstGeom prst="rect">
          <a:avLst/>
        </a:prstGeom>
        <a:noFill/>
        <a:ln w="9525">
          <a:noFill/>
        </a:ln>
      </xdr:spPr>
    </xdr:pic>
    <xdr:clientData/>
  </xdr:twoCellAnchor>
  <xdr:oneCellAnchor>
    <xdr:from>
      <xdr:col>5</xdr:col>
      <xdr:colOff>1134110</xdr:colOff>
      <xdr:row>66</xdr:row>
      <xdr:rowOff>0</xdr:rowOff>
    </xdr:from>
    <xdr:ext cx="3690620" cy="1685290"/>
    <xdr:sp macro="" textlink="">
      <xdr:nvSpPr>
        <xdr:cNvPr id="4" name="Text Box 6">
          <a:extLst>
            <a:ext uri="{FF2B5EF4-FFF2-40B4-BE49-F238E27FC236}">
              <a16:creationId xmlns:a16="http://schemas.microsoft.com/office/drawing/2014/main" id="{00000000-0008-0000-0400-000004000000}"/>
            </a:ext>
          </a:extLst>
        </xdr:cNvPr>
        <xdr:cNvSpPr txBox="1"/>
      </xdr:nvSpPr>
      <xdr:spPr>
        <a:xfrm>
          <a:off x="7242810" y="17218025"/>
          <a:ext cx="3690620" cy="168529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sym typeface="+mn-ea"/>
            </a:rPr>
            <a:t>Batam , 17 September</a:t>
          </a:r>
          <a:r>
            <a:rPr lang="en-US" baseline="0">
              <a:sym typeface="+mn-ea"/>
            </a:rPr>
            <a:t> </a:t>
          </a:r>
          <a:r>
            <a:rPr lang="en-US">
              <a:sym typeface="+mn-ea"/>
            </a:rPr>
            <a:t>2026</a:t>
          </a:r>
        </a:p>
        <a:p>
          <a:pPr algn="ctr"/>
          <a:r>
            <a:rPr lang="en-US" sz="1100"/>
            <a:t> Diajukan Oleh,  </a:t>
          </a:r>
        </a:p>
        <a:p>
          <a:pPr algn="ctr"/>
          <a:r>
            <a:rPr lang="en-US">
              <a:sym typeface="+mn-ea"/>
            </a:rPr>
            <a:t>EGM KCU BATAM</a:t>
          </a:r>
          <a:endParaRPr lang="en-US" sz="1100"/>
        </a:p>
        <a:p>
          <a:pPr algn="ctr"/>
          <a:endParaRPr lang="en-US" sz="1100"/>
        </a:p>
        <a:p>
          <a:pPr algn="ctr"/>
          <a:endParaRPr lang="en-US" sz="1100"/>
        </a:p>
        <a:p>
          <a:pPr algn="ctr"/>
          <a:r>
            <a:rPr lang="en-US" sz="1100" u="sng"/>
            <a:t>Khresna Adi Nugraha</a:t>
          </a:r>
          <a:endParaRPr lang="en-US" sz="1100"/>
        </a:p>
        <a:p>
          <a:pPr algn="ctr"/>
          <a:r>
            <a:rPr lang="en-US" sz="1100"/>
            <a:t> Nippos : 986393010</a:t>
          </a:r>
        </a:p>
        <a:p>
          <a:pPr algn="ctr"/>
          <a:endParaRPr lang="en-US" sz="1100"/>
        </a:p>
      </xdr:txBody>
    </xdr:sp>
    <xdr:clientData/>
  </xdr:oneCellAnchor>
  <xdr:twoCellAnchor editAs="oneCell">
    <xdr:from>
      <xdr:col>5</xdr:col>
      <xdr:colOff>40822</xdr:colOff>
      <xdr:row>12</xdr:row>
      <xdr:rowOff>54429</xdr:rowOff>
    </xdr:from>
    <xdr:to>
      <xdr:col>7</xdr:col>
      <xdr:colOff>3510519</xdr:colOff>
      <xdr:row>16</xdr:row>
      <xdr:rowOff>2454727</xdr:rowOff>
    </xdr:to>
    <xdr:pic>
      <xdr:nvPicPr>
        <xdr:cNvPr id="6" name="Picture 5">
          <a:extLst>
            <a:ext uri="{FF2B5EF4-FFF2-40B4-BE49-F238E27FC236}">
              <a16:creationId xmlns:a16="http://schemas.microsoft.com/office/drawing/2014/main" id="{5C71211F-3DE4-A568-7270-19D123B78C4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6293305" y="3177269"/>
          <a:ext cx="5708071" cy="31895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mail@thetempogroup.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I54"/>
  <sheetViews>
    <sheetView tabSelected="1" zoomScale="83" zoomScaleNormal="83" zoomScaleSheetLayoutView="80" workbookViewId="0">
      <selection activeCell="A5" sqref="A5:K5"/>
    </sheetView>
  </sheetViews>
  <sheetFormatPr defaultColWidth="9" defaultRowHeight="14.25"/>
  <cols>
    <col min="1" max="1" width="4.33203125" style="169" customWidth="1"/>
    <col min="2" max="2" width="30.796875" style="169" customWidth="1"/>
    <col min="3" max="3" width="8" style="169" customWidth="1"/>
    <col min="4" max="4" width="12.6640625" style="169" customWidth="1"/>
    <col min="5" max="5" width="9.33203125" style="169" customWidth="1"/>
    <col min="6" max="6" width="10.796875" style="169" customWidth="1"/>
    <col min="7" max="7" width="11.19921875" style="169" customWidth="1"/>
    <col min="8" max="8" width="9.796875" style="169" customWidth="1"/>
    <col min="9" max="9" width="8.796875" style="169" customWidth="1"/>
    <col min="10" max="10" width="9.796875" style="169" customWidth="1"/>
    <col min="11" max="11" width="10.6640625" style="169" customWidth="1"/>
    <col min="12" max="12" width="9.86328125" style="169" bestFit="1" customWidth="1"/>
    <col min="13" max="13" width="6.796875" style="171" customWidth="1"/>
    <col min="14" max="14" width="13.1328125" style="169" customWidth="1"/>
    <col min="15" max="15" width="22.19921875" style="169" bestFit="1" customWidth="1"/>
    <col min="16" max="16" width="11.6640625" style="169" customWidth="1"/>
    <col min="17" max="18" width="10" style="169" customWidth="1"/>
    <col min="19" max="19" width="17.33203125" style="169" customWidth="1"/>
    <col min="20" max="20" width="15.86328125" style="169" hidden="1" customWidth="1"/>
    <col min="21" max="21" width="11.6640625" style="169" hidden="1" customWidth="1"/>
    <col min="22" max="22" width="15.1328125" style="169" customWidth="1"/>
    <col min="23" max="24" width="8.796875" style="169" customWidth="1"/>
    <col min="25" max="25" width="25.1328125" style="169" customWidth="1"/>
    <col min="26" max="26" width="9.19921875" style="169" customWidth="1"/>
    <col min="27" max="27" width="9" style="169" customWidth="1"/>
    <col min="28" max="28" width="8.1328125" style="169" customWidth="1"/>
    <col min="29" max="29" width="10.796875" style="169" customWidth="1"/>
    <col min="30" max="30" width="11.6640625" style="169" customWidth="1"/>
    <col min="31" max="31" width="10.796875" style="169" customWidth="1"/>
    <col min="32" max="32" width="11.796875" style="169" customWidth="1"/>
    <col min="33" max="33" width="9" style="169" customWidth="1"/>
    <col min="34" max="34" width="9" style="169"/>
    <col min="35" max="35" width="12.6640625" style="169"/>
    <col min="36" max="16384" width="9" style="169"/>
  </cols>
  <sheetData>
    <row r="1" spans="1:33">
      <c r="A1" s="245" t="s">
        <v>0</v>
      </c>
      <c r="B1" s="245"/>
      <c r="C1" s="245"/>
      <c r="D1" s="245"/>
      <c r="E1" s="245"/>
      <c r="F1" s="246"/>
      <c r="G1" s="246"/>
      <c r="H1" s="246"/>
      <c r="I1" s="246"/>
      <c r="J1" s="246"/>
      <c r="K1" s="246"/>
      <c r="L1" s="246"/>
      <c r="M1" s="238"/>
      <c r="N1" s="246"/>
      <c r="O1" s="246"/>
      <c r="P1" s="246"/>
      <c r="Q1" s="246"/>
      <c r="R1" s="246"/>
      <c r="S1" s="246"/>
      <c r="T1" s="246"/>
      <c r="U1" s="246"/>
      <c r="V1" s="246"/>
      <c r="W1" s="246"/>
      <c r="X1" s="246"/>
      <c r="Y1" s="175"/>
      <c r="Z1" s="175"/>
      <c r="AA1" s="175"/>
      <c r="AB1" s="175"/>
      <c r="AC1" s="175"/>
      <c r="AD1" s="175"/>
      <c r="AE1" s="175"/>
      <c r="AF1" s="325" t="s">
        <v>1</v>
      </c>
      <c r="AG1" s="175"/>
    </row>
    <row r="2" spans="1:33" ht="15" customHeight="1">
      <c r="A2" s="245" t="s">
        <v>2</v>
      </c>
      <c r="B2" s="245"/>
      <c r="C2" s="245"/>
      <c r="D2" s="245"/>
      <c r="E2" s="245"/>
      <c r="F2" s="246"/>
      <c r="G2" s="246"/>
      <c r="H2" s="246"/>
      <c r="I2" s="246"/>
      <c r="J2" s="246"/>
      <c r="K2" s="246"/>
      <c r="L2" s="246"/>
      <c r="M2" s="238"/>
      <c r="N2" s="246"/>
      <c r="O2" s="246"/>
      <c r="P2" s="246"/>
      <c r="Q2" s="246"/>
      <c r="R2" s="246"/>
      <c r="S2" s="246"/>
      <c r="T2" s="246"/>
      <c r="U2" s="246"/>
      <c r="V2" s="246"/>
      <c r="W2" s="246"/>
      <c r="X2" s="246"/>
      <c r="Y2" s="175"/>
      <c r="Z2" s="175"/>
      <c r="AA2" s="175"/>
      <c r="AB2" s="175"/>
      <c r="AC2" s="175"/>
      <c r="AD2" s="175"/>
      <c r="AE2" s="175"/>
      <c r="AF2" s="246"/>
      <c r="AG2" s="175"/>
    </row>
    <row r="3" spans="1:33" ht="15" customHeight="1">
      <c r="A3" s="246"/>
      <c r="B3" s="246"/>
      <c r="C3" s="246"/>
      <c r="D3" s="246"/>
      <c r="E3" s="246"/>
      <c r="F3" s="246"/>
      <c r="G3" s="246"/>
      <c r="H3" s="246"/>
      <c r="I3" s="246"/>
      <c r="J3" s="246"/>
      <c r="K3" s="246"/>
      <c r="L3" s="246"/>
      <c r="M3" s="238"/>
      <c r="N3" s="246"/>
      <c r="O3" s="246"/>
      <c r="P3" s="246"/>
      <c r="Q3" s="246"/>
      <c r="R3" s="246"/>
      <c r="S3" s="246"/>
      <c r="T3" s="246"/>
      <c r="U3" s="246"/>
      <c r="V3" s="246"/>
      <c r="W3" s="246"/>
      <c r="X3" s="246"/>
      <c r="Y3" s="175"/>
      <c r="Z3" s="175"/>
      <c r="AA3" s="175"/>
      <c r="AB3" s="175"/>
      <c r="AC3" s="175"/>
      <c r="AD3" s="175"/>
      <c r="AE3" s="175"/>
      <c r="AF3" s="246"/>
      <c r="AG3" s="175"/>
    </row>
    <row r="4" spans="1:33">
      <c r="A4" s="498" t="s">
        <v>3</v>
      </c>
      <c r="B4" s="498"/>
      <c r="C4" s="498"/>
      <c r="D4" s="498"/>
      <c r="E4" s="498"/>
      <c r="F4" s="498"/>
      <c r="G4" s="498"/>
      <c r="H4" s="498"/>
      <c r="I4" s="498"/>
      <c r="J4" s="498"/>
      <c r="K4" s="498"/>
      <c r="L4" s="246"/>
      <c r="M4" s="238"/>
      <c r="N4" s="246"/>
      <c r="O4" s="246"/>
      <c r="P4" s="246"/>
      <c r="Q4" s="246"/>
      <c r="R4" s="246"/>
      <c r="S4" s="246"/>
      <c r="T4" s="246"/>
      <c r="U4" s="246"/>
      <c r="V4" s="246"/>
      <c r="W4" s="246"/>
      <c r="X4" s="246"/>
      <c r="Y4" s="175"/>
      <c r="Z4" s="326"/>
      <c r="AA4" s="326"/>
      <c r="AB4" s="326"/>
      <c r="AC4" s="326"/>
      <c r="AD4" s="326"/>
      <c r="AE4" s="326"/>
      <c r="AF4" s="326"/>
      <c r="AG4" s="326"/>
    </row>
    <row r="5" spans="1:33">
      <c r="A5" s="498" t="s">
        <v>324</v>
      </c>
      <c r="B5" s="498"/>
      <c r="C5" s="498"/>
      <c r="D5" s="498"/>
      <c r="E5" s="498"/>
      <c r="F5" s="498"/>
      <c r="G5" s="498"/>
      <c r="H5" s="498"/>
      <c r="I5" s="498"/>
      <c r="J5" s="498"/>
      <c r="K5" s="498"/>
      <c r="L5" s="246"/>
      <c r="M5" s="238"/>
      <c r="N5" s="279"/>
      <c r="O5" s="279"/>
      <c r="P5" s="246"/>
      <c r="Q5" s="246"/>
      <c r="R5" s="246"/>
      <c r="S5" s="246"/>
      <c r="T5" s="246"/>
      <c r="U5" s="246"/>
      <c r="V5" s="246"/>
      <c r="W5" s="246"/>
      <c r="X5" s="246"/>
      <c r="Y5" s="175"/>
      <c r="Z5" s="326"/>
      <c r="AA5" s="326"/>
      <c r="AB5" s="326"/>
      <c r="AC5" s="326"/>
      <c r="AD5" s="326"/>
      <c r="AE5" s="326"/>
      <c r="AF5" s="326"/>
      <c r="AG5" s="326"/>
    </row>
    <row r="6" spans="1:33" ht="15.75" customHeight="1">
      <c r="A6" s="499" t="s">
        <v>4</v>
      </c>
      <c r="B6" s="499"/>
      <c r="C6" s="499"/>
      <c r="D6" s="499"/>
      <c r="E6" s="499"/>
      <c r="F6" s="499"/>
      <c r="G6" s="499"/>
      <c r="H6" s="499"/>
      <c r="I6" s="499"/>
      <c r="J6" s="499"/>
      <c r="K6" s="499"/>
      <c r="L6" s="246"/>
      <c r="M6" s="238"/>
      <c r="N6" s="246"/>
      <c r="O6" s="246"/>
      <c r="P6" s="246"/>
      <c r="Q6" s="246"/>
      <c r="R6" s="246"/>
      <c r="S6" s="246"/>
      <c r="T6" s="246"/>
      <c r="U6" s="246"/>
      <c r="V6" s="246"/>
      <c r="W6" s="246"/>
      <c r="X6" s="246"/>
      <c r="Y6" s="242"/>
    </row>
    <row r="7" spans="1:33" ht="15.75" customHeight="1">
      <c r="A7" s="247"/>
      <c r="B7" s="247"/>
      <c r="C7" s="247"/>
      <c r="D7" s="247"/>
      <c r="E7" s="247"/>
      <c r="F7" s="247"/>
      <c r="G7" s="247"/>
      <c r="H7" s="247"/>
      <c r="I7" s="247"/>
      <c r="J7" s="247"/>
      <c r="K7" s="247"/>
      <c r="Y7" s="242"/>
    </row>
    <row r="8" spans="1:33" ht="15.75" customHeight="1">
      <c r="A8" s="508" t="s">
        <v>5</v>
      </c>
      <c r="B8" s="508" t="s">
        <v>6</v>
      </c>
      <c r="C8" s="509" t="s">
        <v>7</v>
      </c>
      <c r="D8" s="509"/>
      <c r="E8" s="500" t="s">
        <v>8</v>
      </c>
      <c r="F8" s="500"/>
      <c r="G8" s="500"/>
      <c r="H8" s="500"/>
      <c r="I8" s="500"/>
      <c r="J8" s="500"/>
      <c r="K8" s="500"/>
      <c r="L8" s="501" t="s">
        <v>9</v>
      </c>
      <c r="M8" s="501"/>
      <c r="N8" s="501"/>
      <c r="O8" s="501"/>
      <c r="P8" s="501"/>
      <c r="Q8" s="501"/>
      <c r="R8" s="501"/>
      <c r="S8" s="501"/>
      <c r="T8" s="501"/>
      <c r="U8" s="501"/>
      <c r="V8" s="501"/>
      <c r="W8" s="501"/>
      <c r="X8" s="501"/>
      <c r="Y8" s="520" t="s">
        <v>10</v>
      </c>
      <c r="Z8" s="500" t="s">
        <v>11</v>
      </c>
      <c r="AA8" s="500"/>
      <c r="AB8" s="500"/>
      <c r="AC8" s="500"/>
      <c r="AD8" s="521" t="s">
        <v>12</v>
      </c>
      <c r="AE8" s="520" t="s">
        <v>13</v>
      </c>
      <c r="AF8" s="517" t="s">
        <v>14</v>
      </c>
      <c r="AG8" s="518" t="s">
        <v>15</v>
      </c>
    </row>
    <row r="9" spans="1:33">
      <c r="A9" s="508"/>
      <c r="B9" s="508"/>
      <c r="C9" s="509"/>
      <c r="D9" s="509"/>
      <c r="E9" s="509" t="s">
        <v>16</v>
      </c>
      <c r="F9" s="510" t="s">
        <v>17</v>
      </c>
      <c r="G9" s="511" t="s">
        <v>18</v>
      </c>
      <c r="H9" s="512" t="s">
        <v>19</v>
      </c>
      <c r="I9" s="512" t="s">
        <v>20</v>
      </c>
      <c r="J9" s="512" t="s">
        <v>21</v>
      </c>
      <c r="K9" s="513" t="s">
        <v>22</v>
      </c>
      <c r="L9" s="513" t="s">
        <v>23</v>
      </c>
      <c r="M9" s="516" t="s">
        <v>24</v>
      </c>
      <c r="N9" s="516" t="s">
        <v>25</v>
      </c>
      <c r="O9" s="516" t="s">
        <v>26</v>
      </c>
      <c r="P9" s="516" t="s">
        <v>27</v>
      </c>
      <c r="Q9" s="516" t="s">
        <v>28</v>
      </c>
      <c r="R9" s="516" t="s">
        <v>29</v>
      </c>
      <c r="S9" s="520" t="s">
        <v>30</v>
      </c>
      <c r="T9" s="514" t="str">
        <f>RBL!D24</f>
        <v>Perjalanan Dinas Dalam Negeri</v>
      </c>
      <c r="U9" s="515" t="s">
        <v>31</v>
      </c>
      <c r="V9" s="514" t="s">
        <v>32</v>
      </c>
      <c r="W9" s="519" t="s">
        <v>279</v>
      </c>
      <c r="X9" s="519" t="s">
        <v>33</v>
      </c>
      <c r="Y9" s="520"/>
      <c r="Z9" s="519" t="s">
        <v>34</v>
      </c>
      <c r="AA9" s="519" t="s">
        <v>35</v>
      </c>
      <c r="AB9" s="520" t="s">
        <v>36</v>
      </c>
      <c r="AC9" s="520" t="s">
        <v>37</v>
      </c>
      <c r="AD9" s="521"/>
      <c r="AE9" s="520"/>
      <c r="AF9" s="517"/>
      <c r="AG9" s="518"/>
    </row>
    <row r="10" spans="1:33" ht="15" customHeight="1">
      <c r="A10" s="508"/>
      <c r="B10" s="508"/>
      <c r="C10" s="509" t="s">
        <v>38</v>
      </c>
      <c r="D10" s="509" t="s">
        <v>256</v>
      </c>
      <c r="E10" s="509"/>
      <c r="F10" s="510"/>
      <c r="G10" s="511"/>
      <c r="H10" s="512"/>
      <c r="I10" s="512"/>
      <c r="J10" s="512"/>
      <c r="K10" s="513"/>
      <c r="L10" s="513"/>
      <c r="M10" s="516"/>
      <c r="N10" s="516"/>
      <c r="O10" s="516"/>
      <c r="P10" s="516"/>
      <c r="Q10" s="516"/>
      <c r="R10" s="516"/>
      <c r="S10" s="520"/>
      <c r="T10" s="514"/>
      <c r="U10" s="515"/>
      <c r="V10" s="514"/>
      <c r="W10" s="519"/>
      <c r="X10" s="519"/>
      <c r="Y10" s="520"/>
      <c r="Z10" s="519"/>
      <c r="AA10" s="519"/>
      <c r="AB10" s="520"/>
      <c r="AC10" s="520"/>
      <c r="AD10" s="521"/>
      <c r="AE10" s="520"/>
      <c r="AF10" s="517"/>
      <c r="AG10" s="518"/>
    </row>
    <row r="11" spans="1:33" ht="15.75" customHeight="1">
      <c r="A11" s="508"/>
      <c r="B11" s="508"/>
      <c r="C11" s="509"/>
      <c r="D11" s="509"/>
      <c r="E11" s="509"/>
      <c r="F11" s="510"/>
      <c r="G11" s="511"/>
      <c r="H11" s="512"/>
      <c r="I11" s="512"/>
      <c r="J11" s="512"/>
      <c r="K11" s="513"/>
      <c r="L11" s="280" t="s">
        <v>39</v>
      </c>
      <c r="M11" s="516"/>
      <c r="N11" s="516"/>
      <c r="O11" s="516"/>
      <c r="P11" s="516"/>
      <c r="Q11" s="516"/>
      <c r="R11" s="516"/>
      <c r="S11" s="520"/>
      <c r="T11" s="514"/>
      <c r="U11" s="515"/>
      <c r="V11" s="514"/>
      <c r="W11" s="519"/>
      <c r="X11" s="519"/>
      <c r="Y11" s="520"/>
      <c r="Z11" s="519"/>
      <c r="AA11" s="519"/>
      <c r="AB11" s="520"/>
      <c r="AC11" s="520"/>
      <c r="AD11" s="521"/>
      <c r="AE11" s="520"/>
      <c r="AF11" s="517"/>
      <c r="AG11" s="518"/>
    </row>
    <row r="12" spans="1:33" s="242" customFormat="1" ht="10.5">
      <c r="A12" s="248"/>
      <c r="B12" s="248"/>
      <c r="C12" s="249"/>
      <c r="D12" s="249"/>
      <c r="E12" s="249"/>
      <c r="F12" s="250"/>
      <c r="G12" s="251">
        <v>1.0999999999999999E-2</v>
      </c>
      <c r="H12" s="252"/>
      <c r="I12" s="281">
        <v>0.11</v>
      </c>
      <c r="J12" s="281"/>
      <c r="K12" s="249"/>
      <c r="L12" s="252">
        <v>0</v>
      </c>
      <c r="M12" s="282"/>
      <c r="N12" s="249"/>
      <c r="O12" s="249"/>
      <c r="P12" s="249"/>
      <c r="Q12" s="249"/>
      <c r="R12" s="249"/>
      <c r="S12" s="308"/>
      <c r="T12" s="252"/>
      <c r="U12" s="252"/>
      <c r="V12" s="309"/>
      <c r="W12" s="310"/>
      <c r="X12" s="310"/>
      <c r="Y12" s="327"/>
      <c r="Z12" s="328">
        <v>0.01</v>
      </c>
      <c r="AA12" s="329">
        <f>(30/365)*8%</f>
        <v>6.5753424657534242E-3</v>
      </c>
      <c r="AB12" s="330">
        <v>2.3999999999999998E-3</v>
      </c>
      <c r="AC12" s="331"/>
      <c r="AD12" s="332"/>
      <c r="AE12" s="333"/>
      <c r="AF12" s="333"/>
      <c r="AG12" s="327"/>
    </row>
    <row r="13" spans="1:33" s="243" customFormat="1" ht="10.5">
      <c r="A13" s="253">
        <v>1</v>
      </c>
      <c r="B13" s="253">
        <v>2</v>
      </c>
      <c r="C13" s="253">
        <v>3</v>
      </c>
      <c r="D13" s="253">
        <v>4</v>
      </c>
      <c r="E13" s="253">
        <v>5</v>
      </c>
      <c r="F13" s="253">
        <v>6</v>
      </c>
      <c r="G13" s="253">
        <v>7</v>
      </c>
      <c r="H13" s="253">
        <v>8</v>
      </c>
      <c r="I13" s="253">
        <v>9</v>
      </c>
      <c r="J13" s="253">
        <v>10</v>
      </c>
      <c r="K13" s="253">
        <v>11</v>
      </c>
      <c r="L13" s="253">
        <v>12</v>
      </c>
      <c r="M13" s="253">
        <v>13</v>
      </c>
      <c r="N13" s="253">
        <v>14</v>
      </c>
      <c r="O13" s="253">
        <v>15</v>
      </c>
      <c r="P13" s="253">
        <v>16</v>
      </c>
      <c r="Q13" s="253">
        <v>17</v>
      </c>
      <c r="R13" s="253">
        <v>18</v>
      </c>
      <c r="S13" s="253">
        <v>19</v>
      </c>
      <c r="T13" s="253">
        <v>20</v>
      </c>
      <c r="U13" s="253">
        <v>21</v>
      </c>
      <c r="V13" s="253">
        <v>17</v>
      </c>
      <c r="W13" s="253">
        <v>18</v>
      </c>
      <c r="X13" s="253">
        <v>19</v>
      </c>
      <c r="Y13" s="253">
        <v>20</v>
      </c>
      <c r="Z13" s="253">
        <v>21</v>
      </c>
      <c r="AA13" s="253">
        <v>22</v>
      </c>
      <c r="AB13" s="253">
        <v>23</v>
      </c>
      <c r="AC13" s="253">
        <v>24</v>
      </c>
      <c r="AD13" s="253">
        <v>25</v>
      </c>
      <c r="AE13" s="253">
        <v>26</v>
      </c>
      <c r="AF13" s="253">
        <v>27</v>
      </c>
      <c r="AG13" s="253">
        <v>28</v>
      </c>
    </row>
    <row r="14" spans="1:33" ht="15.4">
      <c r="A14" s="254">
        <v>1</v>
      </c>
      <c r="B14" s="35" t="s">
        <v>371</v>
      </c>
      <c r="C14" s="256">
        <v>2587</v>
      </c>
      <c r="D14" s="255">
        <v>122</v>
      </c>
      <c r="E14" s="257"/>
      <c r="F14" s="258">
        <v>33000000</v>
      </c>
      <c r="G14" s="259"/>
      <c r="H14" s="259"/>
      <c r="I14" s="259">
        <f>(H14*100/111)*$I$12</f>
        <v>0</v>
      </c>
      <c r="J14" s="283">
        <f>H14-I14</f>
        <v>0</v>
      </c>
      <c r="K14" s="284">
        <f>F14</f>
        <v>33000000</v>
      </c>
      <c r="L14" s="285">
        <f>C14*$L$12</f>
        <v>0</v>
      </c>
      <c r="M14" s="286"/>
      <c r="N14" s="287">
        <v>28600000</v>
      </c>
      <c r="O14" s="287"/>
      <c r="P14" s="287"/>
      <c r="Q14" s="287">
        <f>N14*2/100</f>
        <v>572000</v>
      </c>
      <c r="R14" s="287">
        <f>N14-Q14</f>
        <v>28028000</v>
      </c>
      <c r="S14" s="287">
        <f>N14</f>
        <v>28600000</v>
      </c>
      <c r="T14" s="287">
        <f t="shared" ref="T14:T34" si="0">$T$12*D14</f>
        <v>0</v>
      </c>
      <c r="U14" s="287">
        <f t="shared" ref="U14:U34" si="1">$U$12*D14</f>
        <v>0</v>
      </c>
      <c r="V14" s="291">
        <f>S14</f>
        <v>28600000</v>
      </c>
      <c r="W14" s="311"/>
      <c r="X14" s="311">
        <f>(D14/D$36)*'RBL 2'!F$37</f>
        <v>0</v>
      </c>
      <c r="Y14" s="334">
        <f>SUM(V14:X14)</f>
        <v>28600000</v>
      </c>
      <c r="Z14" s="335">
        <f t="shared" ref="Z14:Z25" si="2">Y14*$Z$12</f>
        <v>286000</v>
      </c>
      <c r="AA14" s="336">
        <f t="shared" ref="AA14:AA25" si="3">Y14*$AA$12</f>
        <v>188054.79452054793</v>
      </c>
      <c r="AB14" s="336"/>
      <c r="AC14" s="335">
        <f t="shared" ref="AC14:AC25" si="4">Y14*$AC$12</f>
        <v>0</v>
      </c>
      <c r="AD14" s="337">
        <f>SUM(Z14:AC14)</f>
        <v>474054.79452054796</v>
      </c>
      <c r="AE14" s="337">
        <f>Y14+AD14</f>
        <v>29074054.794520549</v>
      </c>
      <c r="AF14" s="338">
        <f t="shared" ref="AF14:AF34" si="5">(F14+J14)-AE14</f>
        <v>3925945.2054794505</v>
      </c>
      <c r="AG14" s="348">
        <f>AF14/(F14)</f>
        <v>0.11896803652968031</v>
      </c>
    </row>
    <row r="15" spans="1:33" ht="15.4" hidden="1">
      <c r="A15" s="254"/>
      <c r="B15" s="260"/>
      <c r="C15" s="261"/>
      <c r="D15" s="262"/>
      <c r="E15" s="257"/>
      <c r="F15" s="258"/>
      <c r="G15" s="259">
        <f t="shared" ref="G15:G25" si="6">F15*$G$12</f>
        <v>0</v>
      </c>
      <c r="H15" s="259"/>
      <c r="I15" s="259">
        <f t="shared" ref="I15:I25" si="7">(H15*100/111)*$I$12</f>
        <v>0</v>
      </c>
      <c r="J15" s="283">
        <f t="shared" ref="J15:J25" si="8">H15-I15</f>
        <v>0</v>
      </c>
      <c r="K15" s="284">
        <f t="shared" ref="K15:K25" si="9">F15+G15+H15</f>
        <v>0</v>
      </c>
      <c r="L15" s="285">
        <f t="shared" ref="L15:L25" si="10">C15*$L$12</f>
        <v>0</v>
      </c>
      <c r="M15" s="286">
        <v>1</v>
      </c>
      <c r="N15" s="287"/>
      <c r="O15" s="287">
        <f t="shared" ref="O15:O34" si="11">N15/1.011</f>
        <v>0</v>
      </c>
      <c r="P15" s="287">
        <f t="shared" ref="P15:P34" si="12">O15*1.1%</f>
        <v>0</v>
      </c>
      <c r="Q15" s="287">
        <f t="shared" ref="Q15:Q34" si="13">N15*2/100</f>
        <v>0</v>
      </c>
      <c r="R15" s="287">
        <f t="shared" ref="R15:R34" si="14">(O15+P15)-Q15</f>
        <v>0</v>
      </c>
      <c r="S15" s="287">
        <f t="shared" ref="S15:S34" si="15">N15+Q15</f>
        <v>0</v>
      </c>
      <c r="T15" s="287">
        <f t="shared" si="0"/>
        <v>0</v>
      </c>
      <c r="U15" s="287">
        <f t="shared" si="1"/>
        <v>0</v>
      </c>
      <c r="V15" s="291">
        <f t="shared" ref="V15:V34" si="16">L15+S15+T15+U15</f>
        <v>0</v>
      </c>
      <c r="W15" s="311">
        <f>(D15/D$36)*'RBL 2'!F$25</f>
        <v>0</v>
      </c>
      <c r="X15" s="311">
        <f>(D15/D$36)*'RBL 2'!F$37</f>
        <v>0</v>
      </c>
      <c r="Y15" s="334">
        <f t="shared" ref="Y15:Y25" si="17">SUM(V15:X15)</f>
        <v>0</v>
      </c>
      <c r="Z15" s="335">
        <f t="shared" si="2"/>
        <v>0</v>
      </c>
      <c r="AA15" s="336">
        <f t="shared" si="3"/>
        <v>0</v>
      </c>
      <c r="AB15" s="336">
        <f t="shared" ref="AB15:AB34" si="18">C15*$AB$13</f>
        <v>0</v>
      </c>
      <c r="AC15" s="335">
        <f t="shared" si="4"/>
        <v>0</v>
      </c>
      <c r="AD15" s="337">
        <f t="shared" ref="AD15:AD25" si="19">SUM(Z15:AC15)</f>
        <v>0</v>
      </c>
      <c r="AE15" s="337">
        <f t="shared" ref="AE15:AE25" si="20">Y15+AD15</f>
        <v>0</v>
      </c>
      <c r="AF15" s="338">
        <f t="shared" si="5"/>
        <v>0</v>
      </c>
      <c r="AG15" s="348" t="e">
        <f t="shared" ref="AG15:AG34" si="21">AF15/(F15)</f>
        <v>#DIV/0!</v>
      </c>
    </row>
    <row r="16" spans="1:33" ht="15.4" hidden="1">
      <c r="A16" s="254">
        <v>9</v>
      </c>
      <c r="B16" s="260"/>
      <c r="C16" s="261"/>
      <c r="D16" s="262"/>
      <c r="E16" s="257"/>
      <c r="F16" s="258"/>
      <c r="G16" s="259">
        <f t="shared" si="6"/>
        <v>0</v>
      </c>
      <c r="H16" s="259"/>
      <c r="I16" s="259">
        <f t="shared" si="7"/>
        <v>0</v>
      </c>
      <c r="J16" s="283">
        <f t="shared" si="8"/>
        <v>0</v>
      </c>
      <c r="K16" s="284">
        <f t="shared" si="9"/>
        <v>0</v>
      </c>
      <c r="L16" s="285">
        <f t="shared" si="10"/>
        <v>0</v>
      </c>
      <c r="M16" s="286">
        <v>1</v>
      </c>
      <c r="N16" s="287"/>
      <c r="O16" s="287">
        <f t="shared" si="11"/>
        <v>0</v>
      </c>
      <c r="P16" s="287">
        <f t="shared" si="12"/>
        <v>0</v>
      </c>
      <c r="Q16" s="287">
        <f t="shared" si="13"/>
        <v>0</v>
      </c>
      <c r="R16" s="287">
        <f t="shared" si="14"/>
        <v>0</v>
      </c>
      <c r="S16" s="287">
        <f t="shared" si="15"/>
        <v>0</v>
      </c>
      <c r="T16" s="287">
        <f t="shared" si="0"/>
        <v>0</v>
      </c>
      <c r="U16" s="287">
        <f t="shared" si="1"/>
        <v>0</v>
      </c>
      <c r="V16" s="291">
        <f t="shared" si="16"/>
        <v>0</v>
      </c>
      <c r="W16" s="311">
        <f>(D16/D$36)*'RBL 2'!F$25</f>
        <v>0</v>
      </c>
      <c r="X16" s="311">
        <f>(D16/D$36)*'RBL 2'!F$37</f>
        <v>0</v>
      </c>
      <c r="Y16" s="334">
        <f t="shared" si="17"/>
        <v>0</v>
      </c>
      <c r="Z16" s="335">
        <f t="shared" si="2"/>
        <v>0</v>
      </c>
      <c r="AA16" s="336">
        <f t="shared" si="3"/>
        <v>0</v>
      </c>
      <c r="AB16" s="336">
        <f t="shared" si="18"/>
        <v>0</v>
      </c>
      <c r="AC16" s="335">
        <f t="shared" si="4"/>
        <v>0</v>
      </c>
      <c r="AD16" s="337">
        <f t="shared" si="19"/>
        <v>0</v>
      </c>
      <c r="AE16" s="337">
        <f t="shared" si="20"/>
        <v>0</v>
      </c>
      <c r="AF16" s="338">
        <f t="shared" si="5"/>
        <v>0</v>
      </c>
      <c r="AG16" s="348" t="e">
        <f t="shared" si="21"/>
        <v>#DIV/0!</v>
      </c>
    </row>
    <row r="17" spans="1:35" ht="15.4" hidden="1">
      <c r="A17" s="254">
        <v>10</v>
      </c>
      <c r="B17" s="260"/>
      <c r="C17" s="261"/>
      <c r="D17" s="262"/>
      <c r="E17" s="257"/>
      <c r="F17" s="258"/>
      <c r="G17" s="259">
        <f t="shared" si="6"/>
        <v>0</v>
      </c>
      <c r="H17" s="259"/>
      <c r="I17" s="259">
        <f t="shared" si="7"/>
        <v>0</v>
      </c>
      <c r="J17" s="283">
        <f t="shared" si="8"/>
        <v>0</v>
      </c>
      <c r="K17" s="284">
        <f t="shared" si="9"/>
        <v>0</v>
      </c>
      <c r="L17" s="285">
        <f t="shared" si="10"/>
        <v>0</v>
      </c>
      <c r="M17" s="286">
        <v>1</v>
      </c>
      <c r="N17" s="287"/>
      <c r="O17" s="287">
        <f t="shared" si="11"/>
        <v>0</v>
      </c>
      <c r="P17" s="287">
        <f t="shared" si="12"/>
        <v>0</v>
      </c>
      <c r="Q17" s="287">
        <f t="shared" si="13"/>
        <v>0</v>
      </c>
      <c r="R17" s="287">
        <f t="shared" si="14"/>
        <v>0</v>
      </c>
      <c r="S17" s="287">
        <f t="shared" si="15"/>
        <v>0</v>
      </c>
      <c r="T17" s="287">
        <f t="shared" si="0"/>
        <v>0</v>
      </c>
      <c r="U17" s="287">
        <f t="shared" si="1"/>
        <v>0</v>
      </c>
      <c r="V17" s="291">
        <f t="shared" si="16"/>
        <v>0</v>
      </c>
      <c r="W17" s="311">
        <f>(D17/D$36)*'RBL 2'!F$25</f>
        <v>0</v>
      </c>
      <c r="X17" s="311">
        <f>(D17/D$36)*'RBL 2'!F$37</f>
        <v>0</v>
      </c>
      <c r="Y17" s="334">
        <f t="shared" si="17"/>
        <v>0</v>
      </c>
      <c r="Z17" s="335">
        <f t="shared" si="2"/>
        <v>0</v>
      </c>
      <c r="AA17" s="336">
        <f t="shared" si="3"/>
        <v>0</v>
      </c>
      <c r="AB17" s="336">
        <f t="shared" si="18"/>
        <v>0</v>
      </c>
      <c r="AC17" s="335">
        <f t="shared" si="4"/>
        <v>0</v>
      </c>
      <c r="AD17" s="337">
        <f t="shared" si="19"/>
        <v>0</v>
      </c>
      <c r="AE17" s="337">
        <f t="shared" si="20"/>
        <v>0</v>
      </c>
      <c r="AF17" s="338">
        <f t="shared" si="5"/>
        <v>0</v>
      </c>
      <c r="AG17" s="348" t="e">
        <f t="shared" si="21"/>
        <v>#DIV/0!</v>
      </c>
    </row>
    <row r="18" spans="1:35" ht="15.4" hidden="1">
      <c r="A18" s="254">
        <v>11</v>
      </c>
      <c r="B18" s="260"/>
      <c r="C18" s="261"/>
      <c r="D18" s="262"/>
      <c r="E18" s="257"/>
      <c r="F18" s="258"/>
      <c r="G18" s="259">
        <f t="shared" si="6"/>
        <v>0</v>
      </c>
      <c r="H18" s="259"/>
      <c r="I18" s="259">
        <f t="shared" si="7"/>
        <v>0</v>
      </c>
      <c r="J18" s="283">
        <f t="shared" si="8"/>
        <v>0</v>
      </c>
      <c r="K18" s="284">
        <f t="shared" si="9"/>
        <v>0</v>
      </c>
      <c r="L18" s="285">
        <f t="shared" si="10"/>
        <v>0</v>
      </c>
      <c r="M18" s="286">
        <v>1</v>
      </c>
      <c r="N18" s="287"/>
      <c r="O18" s="287">
        <f t="shared" si="11"/>
        <v>0</v>
      </c>
      <c r="P18" s="287">
        <f t="shared" si="12"/>
        <v>0</v>
      </c>
      <c r="Q18" s="287">
        <f t="shared" si="13"/>
        <v>0</v>
      </c>
      <c r="R18" s="287">
        <f t="shared" si="14"/>
        <v>0</v>
      </c>
      <c r="S18" s="287">
        <f t="shared" si="15"/>
        <v>0</v>
      </c>
      <c r="T18" s="287">
        <f t="shared" si="0"/>
        <v>0</v>
      </c>
      <c r="U18" s="287">
        <f t="shared" si="1"/>
        <v>0</v>
      </c>
      <c r="V18" s="291">
        <f t="shared" si="16"/>
        <v>0</v>
      </c>
      <c r="W18" s="311">
        <f>(D18/D$36)*'RBL 2'!F$25</f>
        <v>0</v>
      </c>
      <c r="X18" s="311">
        <f>(D18/D$36)*'RBL 2'!F$37</f>
        <v>0</v>
      </c>
      <c r="Y18" s="334">
        <f t="shared" si="17"/>
        <v>0</v>
      </c>
      <c r="Z18" s="335">
        <f t="shared" si="2"/>
        <v>0</v>
      </c>
      <c r="AA18" s="336">
        <f t="shared" si="3"/>
        <v>0</v>
      </c>
      <c r="AB18" s="336">
        <f t="shared" si="18"/>
        <v>0</v>
      </c>
      <c r="AC18" s="335">
        <f t="shared" si="4"/>
        <v>0</v>
      </c>
      <c r="AD18" s="337">
        <f t="shared" si="19"/>
        <v>0</v>
      </c>
      <c r="AE18" s="337">
        <f t="shared" si="20"/>
        <v>0</v>
      </c>
      <c r="AF18" s="338">
        <f t="shared" si="5"/>
        <v>0</v>
      </c>
      <c r="AG18" s="348" t="e">
        <f t="shared" si="21"/>
        <v>#DIV/0!</v>
      </c>
    </row>
    <row r="19" spans="1:35" ht="15.4" hidden="1">
      <c r="A19" s="254">
        <v>12</v>
      </c>
      <c r="B19" s="260"/>
      <c r="C19" s="261"/>
      <c r="D19" s="262"/>
      <c r="E19" s="257"/>
      <c r="F19" s="258"/>
      <c r="G19" s="259">
        <f t="shared" si="6"/>
        <v>0</v>
      </c>
      <c r="H19" s="259"/>
      <c r="I19" s="259">
        <f t="shared" si="7"/>
        <v>0</v>
      </c>
      <c r="J19" s="283">
        <f t="shared" si="8"/>
        <v>0</v>
      </c>
      <c r="K19" s="284">
        <f t="shared" si="9"/>
        <v>0</v>
      </c>
      <c r="L19" s="285">
        <f t="shared" si="10"/>
        <v>0</v>
      </c>
      <c r="M19" s="286">
        <v>1</v>
      </c>
      <c r="N19" s="287"/>
      <c r="O19" s="287">
        <f t="shared" si="11"/>
        <v>0</v>
      </c>
      <c r="P19" s="287">
        <f t="shared" si="12"/>
        <v>0</v>
      </c>
      <c r="Q19" s="287">
        <f t="shared" si="13"/>
        <v>0</v>
      </c>
      <c r="R19" s="287">
        <f t="shared" si="14"/>
        <v>0</v>
      </c>
      <c r="S19" s="287">
        <f t="shared" si="15"/>
        <v>0</v>
      </c>
      <c r="T19" s="287">
        <f t="shared" si="0"/>
        <v>0</v>
      </c>
      <c r="U19" s="287">
        <f t="shared" si="1"/>
        <v>0</v>
      </c>
      <c r="V19" s="291">
        <f t="shared" si="16"/>
        <v>0</v>
      </c>
      <c r="W19" s="311">
        <f>(D19/D$36)*'RBL 2'!F$25</f>
        <v>0</v>
      </c>
      <c r="X19" s="311">
        <f>(D19/D$36)*'RBL 2'!F$37</f>
        <v>0</v>
      </c>
      <c r="Y19" s="334">
        <f t="shared" si="17"/>
        <v>0</v>
      </c>
      <c r="Z19" s="335">
        <f t="shared" si="2"/>
        <v>0</v>
      </c>
      <c r="AA19" s="336">
        <f t="shared" si="3"/>
        <v>0</v>
      </c>
      <c r="AB19" s="336">
        <f t="shared" si="18"/>
        <v>0</v>
      </c>
      <c r="AC19" s="335">
        <f t="shared" si="4"/>
        <v>0</v>
      </c>
      <c r="AD19" s="337">
        <f t="shared" si="19"/>
        <v>0</v>
      </c>
      <c r="AE19" s="337">
        <f t="shared" si="20"/>
        <v>0</v>
      </c>
      <c r="AF19" s="338">
        <f t="shared" si="5"/>
        <v>0</v>
      </c>
      <c r="AG19" s="348" t="e">
        <f t="shared" si="21"/>
        <v>#DIV/0!</v>
      </c>
    </row>
    <row r="20" spans="1:35" ht="15.4" hidden="1">
      <c r="A20" s="254">
        <v>13</v>
      </c>
      <c r="B20" s="260"/>
      <c r="C20" s="261"/>
      <c r="D20" s="262"/>
      <c r="E20" s="257"/>
      <c r="F20" s="258"/>
      <c r="G20" s="259">
        <f t="shared" si="6"/>
        <v>0</v>
      </c>
      <c r="H20" s="259"/>
      <c r="I20" s="259">
        <f t="shared" si="7"/>
        <v>0</v>
      </c>
      <c r="J20" s="283">
        <f t="shared" si="8"/>
        <v>0</v>
      </c>
      <c r="K20" s="284">
        <f t="shared" si="9"/>
        <v>0</v>
      </c>
      <c r="L20" s="285">
        <f t="shared" si="10"/>
        <v>0</v>
      </c>
      <c r="M20" s="286">
        <v>1</v>
      </c>
      <c r="N20" s="287"/>
      <c r="O20" s="287">
        <f t="shared" si="11"/>
        <v>0</v>
      </c>
      <c r="P20" s="287">
        <f t="shared" si="12"/>
        <v>0</v>
      </c>
      <c r="Q20" s="287">
        <f t="shared" si="13"/>
        <v>0</v>
      </c>
      <c r="R20" s="287">
        <f t="shared" si="14"/>
        <v>0</v>
      </c>
      <c r="S20" s="287">
        <f t="shared" si="15"/>
        <v>0</v>
      </c>
      <c r="T20" s="287">
        <f t="shared" si="0"/>
        <v>0</v>
      </c>
      <c r="U20" s="287">
        <f t="shared" si="1"/>
        <v>0</v>
      </c>
      <c r="V20" s="291">
        <f t="shared" si="16"/>
        <v>0</v>
      </c>
      <c r="W20" s="311">
        <f>(D20/D$36)*'RBL 2'!F$25</f>
        <v>0</v>
      </c>
      <c r="X20" s="311">
        <f>(D20/D$36)*'RBL 2'!F$37</f>
        <v>0</v>
      </c>
      <c r="Y20" s="334">
        <f t="shared" si="17"/>
        <v>0</v>
      </c>
      <c r="Z20" s="335">
        <f t="shared" si="2"/>
        <v>0</v>
      </c>
      <c r="AA20" s="336">
        <f t="shared" si="3"/>
        <v>0</v>
      </c>
      <c r="AB20" s="336">
        <f t="shared" si="18"/>
        <v>0</v>
      </c>
      <c r="AC20" s="335">
        <f t="shared" si="4"/>
        <v>0</v>
      </c>
      <c r="AD20" s="337">
        <f t="shared" si="19"/>
        <v>0</v>
      </c>
      <c r="AE20" s="337">
        <f t="shared" si="20"/>
        <v>0</v>
      </c>
      <c r="AF20" s="338">
        <f t="shared" si="5"/>
        <v>0</v>
      </c>
      <c r="AG20" s="348" t="e">
        <f t="shared" si="21"/>
        <v>#DIV/0!</v>
      </c>
    </row>
    <row r="21" spans="1:35" ht="15.4" hidden="1">
      <c r="A21" s="254">
        <v>14</v>
      </c>
      <c r="B21" s="260"/>
      <c r="C21" s="261"/>
      <c r="D21" s="262"/>
      <c r="E21" s="257"/>
      <c r="F21" s="258"/>
      <c r="G21" s="259">
        <f t="shared" si="6"/>
        <v>0</v>
      </c>
      <c r="H21" s="259"/>
      <c r="I21" s="259">
        <f t="shared" si="7"/>
        <v>0</v>
      </c>
      <c r="J21" s="283">
        <f t="shared" si="8"/>
        <v>0</v>
      </c>
      <c r="K21" s="284">
        <f t="shared" si="9"/>
        <v>0</v>
      </c>
      <c r="L21" s="285">
        <f t="shared" si="10"/>
        <v>0</v>
      </c>
      <c r="M21" s="286">
        <v>1</v>
      </c>
      <c r="N21" s="287"/>
      <c r="O21" s="287">
        <f t="shared" si="11"/>
        <v>0</v>
      </c>
      <c r="P21" s="287">
        <f t="shared" si="12"/>
        <v>0</v>
      </c>
      <c r="Q21" s="287">
        <f t="shared" si="13"/>
        <v>0</v>
      </c>
      <c r="R21" s="287">
        <f t="shared" si="14"/>
        <v>0</v>
      </c>
      <c r="S21" s="287">
        <f t="shared" si="15"/>
        <v>0</v>
      </c>
      <c r="T21" s="287">
        <f t="shared" si="0"/>
        <v>0</v>
      </c>
      <c r="U21" s="287">
        <f t="shared" si="1"/>
        <v>0</v>
      </c>
      <c r="V21" s="291">
        <f t="shared" si="16"/>
        <v>0</v>
      </c>
      <c r="W21" s="311">
        <f>(D21/D$36)*'RBL 2'!F$25</f>
        <v>0</v>
      </c>
      <c r="X21" s="311">
        <f>(D21/D$36)*'RBL 2'!F$37</f>
        <v>0</v>
      </c>
      <c r="Y21" s="334">
        <f t="shared" si="17"/>
        <v>0</v>
      </c>
      <c r="Z21" s="335">
        <f t="shared" si="2"/>
        <v>0</v>
      </c>
      <c r="AA21" s="336">
        <f t="shared" si="3"/>
        <v>0</v>
      </c>
      <c r="AB21" s="336">
        <f t="shared" si="18"/>
        <v>0</v>
      </c>
      <c r="AC21" s="335">
        <f t="shared" si="4"/>
        <v>0</v>
      </c>
      <c r="AD21" s="337">
        <f t="shared" si="19"/>
        <v>0</v>
      </c>
      <c r="AE21" s="337">
        <f t="shared" si="20"/>
        <v>0</v>
      </c>
      <c r="AF21" s="338">
        <f t="shared" si="5"/>
        <v>0</v>
      </c>
      <c r="AG21" s="348" t="e">
        <f t="shared" si="21"/>
        <v>#DIV/0!</v>
      </c>
    </row>
    <row r="22" spans="1:35" ht="15.4" hidden="1">
      <c r="A22" s="254">
        <v>15</v>
      </c>
      <c r="B22" s="260"/>
      <c r="C22" s="261"/>
      <c r="D22" s="262"/>
      <c r="E22" s="257"/>
      <c r="F22" s="258"/>
      <c r="G22" s="259">
        <f t="shared" si="6"/>
        <v>0</v>
      </c>
      <c r="H22" s="259"/>
      <c r="I22" s="259">
        <f t="shared" si="7"/>
        <v>0</v>
      </c>
      <c r="J22" s="283">
        <f t="shared" si="8"/>
        <v>0</v>
      </c>
      <c r="K22" s="284">
        <f t="shared" si="9"/>
        <v>0</v>
      </c>
      <c r="L22" s="285">
        <f t="shared" si="10"/>
        <v>0</v>
      </c>
      <c r="M22" s="286">
        <v>1</v>
      </c>
      <c r="N22" s="287"/>
      <c r="O22" s="287">
        <f t="shared" si="11"/>
        <v>0</v>
      </c>
      <c r="P22" s="287">
        <f t="shared" si="12"/>
        <v>0</v>
      </c>
      <c r="Q22" s="287">
        <f t="shared" si="13"/>
        <v>0</v>
      </c>
      <c r="R22" s="287">
        <f t="shared" si="14"/>
        <v>0</v>
      </c>
      <c r="S22" s="287">
        <f t="shared" si="15"/>
        <v>0</v>
      </c>
      <c r="T22" s="287">
        <f t="shared" si="0"/>
        <v>0</v>
      </c>
      <c r="U22" s="287">
        <f t="shared" si="1"/>
        <v>0</v>
      </c>
      <c r="V22" s="291">
        <f t="shared" si="16"/>
        <v>0</v>
      </c>
      <c r="W22" s="311">
        <f>(D22/D$36)*'RBL 2'!F$25</f>
        <v>0</v>
      </c>
      <c r="X22" s="311">
        <f>(D22/D$36)*'RBL 2'!F$37</f>
        <v>0</v>
      </c>
      <c r="Y22" s="334">
        <f t="shared" si="17"/>
        <v>0</v>
      </c>
      <c r="Z22" s="335">
        <f t="shared" si="2"/>
        <v>0</v>
      </c>
      <c r="AA22" s="336">
        <f t="shared" si="3"/>
        <v>0</v>
      </c>
      <c r="AB22" s="336">
        <f t="shared" si="18"/>
        <v>0</v>
      </c>
      <c r="AC22" s="335">
        <f t="shared" si="4"/>
        <v>0</v>
      </c>
      <c r="AD22" s="337">
        <f t="shared" si="19"/>
        <v>0</v>
      </c>
      <c r="AE22" s="337">
        <f t="shared" si="20"/>
        <v>0</v>
      </c>
      <c r="AF22" s="338">
        <f t="shared" si="5"/>
        <v>0</v>
      </c>
      <c r="AG22" s="348" t="e">
        <f t="shared" si="21"/>
        <v>#DIV/0!</v>
      </c>
    </row>
    <row r="23" spans="1:35" ht="15.4" hidden="1">
      <c r="A23" s="254">
        <v>16</v>
      </c>
      <c r="B23" s="260"/>
      <c r="C23" s="261"/>
      <c r="D23" s="262"/>
      <c r="E23" s="257"/>
      <c r="F23" s="258"/>
      <c r="G23" s="259">
        <f t="shared" si="6"/>
        <v>0</v>
      </c>
      <c r="H23" s="259"/>
      <c r="I23" s="259">
        <f t="shared" si="7"/>
        <v>0</v>
      </c>
      <c r="J23" s="283">
        <f t="shared" si="8"/>
        <v>0</v>
      </c>
      <c r="K23" s="284">
        <f t="shared" si="9"/>
        <v>0</v>
      </c>
      <c r="L23" s="285">
        <f t="shared" si="10"/>
        <v>0</v>
      </c>
      <c r="M23" s="286">
        <v>1</v>
      </c>
      <c r="N23" s="287"/>
      <c r="O23" s="287">
        <f t="shared" si="11"/>
        <v>0</v>
      </c>
      <c r="P23" s="287">
        <f t="shared" si="12"/>
        <v>0</v>
      </c>
      <c r="Q23" s="287">
        <f t="shared" si="13"/>
        <v>0</v>
      </c>
      <c r="R23" s="287">
        <f t="shared" si="14"/>
        <v>0</v>
      </c>
      <c r="S23" s="287">
        <f t="shared" si="15"/>
        <v>0</v>
      </c>
      <c r="T23" s="287">
        <f t="shared" si="0"/>
        <v>0</v>
      </c>
      <c r="U23" s="287">
        <f t="shared" si="1"/>
        <v>0</v>
      </c>
      <c r="V23" s="291">
        <f t="shared" si="16"/>
        <v>0</v>
      </c>
      <c r="W23" s="311">
        <f>(D23/D$36)*'RBL 2'!F$25</f>
        <v>0</v>
      </c>
      <c r="X23" s="311">
        <f>(D23/D$36)*'RBL 2'!F$37</f>
        <v>0</v>
      </c>
      <c r="Y23" s="334">
        <f t="shared" si="17"/>
        <v>0</v>
      </c>
      <c r="Z23" s="335">
        <f t="shared" si="2"/>
        <v>0</v>
      </c>
      <c r="AA23" s="336">
        <f t="shared" si="3"/>
        <v>0</v>
      </c>
      <c r="AB23" s="336">
        <f t="shared" si="18"/>
        <v>0</v>
      </c>
      <c r="AC23" s="335">
        <f t="shared" si="4"/>
        <v>0</v>
      </c>
      <c r="AD23" s="337">
        <f t="shared" si="19"/>
        <v>0</v>
      </c>
      <c r="AE23" s="337">
        <f t="shared" si="20"/>
        <v>0</v>
      </c>
      <c r="AF23" s="338">
        <f t="shared" si="5"/>
        <v>0</v>
      </c>
      <c r="AG23" s="348" t="e">
        <f t="shared" si="21"/>
        <v>#DIV/0!</v>
      </c>
    </row>
    <row r="24" spans="1:35" ht="15.4" hidden="1">
      <c r="A24" s="254">
        <v>17</v>
      </c>
      <c r="B24" s="260"/>
      <c r="C24" s="261"/>
      <c r="D24" s="262"/>
      <c r="E24" s="257"/>
      <c r="F24" s="258"/>
      <c r="G24" s="259">
        <f t="shared" si="6"/>
        <v>0</v>
      </c>
      <c r="H24" s="259"/>
      <c r="I24" s="259">
        <f t="shared" si="7"/>
        <v>0</v>
      </c>
      <c r="J24" s="283">
        <f t="shared" si="8"/>
        <v>0</v>
      </c>
      <c r="K24" s="284">
        <f t="shared" si="9"/>
        <v>0</v>
      </c>
      <c r="L24" s="285">
        <f t="shared" si="10"/>
        <v>0</v>
      </c>
      <c r="M24" s="286">
        <v>1</v>
      </c>
      <c r="N24" s="287"/>
      <c r="O24" s="287">
        <f t="shared" si="11"/>
        <v>0</v>
      </c>
      <c r="P24" s="287">
        <f t="shared" si="12"/>
        <v>0</v>
      </c>
      <c r="Q24" s="287">
        <f t="shared" si="13"/>
        <v>0</v>
      </c>
      <c r="R24" s="287">
        <f t="shared" si="14"/>
        <v>0</v>
      </c>
      <c r="S24" s="287">
        <f t="shared" si="15"/>
        <v>0</v>
      </c>
      <c r="T24" s="287">
        <f t="shared" si="0"/>
        <v>0</v>
      </c>
      <c r="U24" s="287">
        <f t="shared" si="1"/>
        <v>0</v>
      </c>
      <c r="V24" s="291">
        <f t="shared" si="16"/>
        <v>0</v>
      </c>
      <c r="W24" s="311">
        <f>(D24/D$36)*'RBL 2'!F$25</f>
        <v>0</v>
      </c>
      <c r="X24" s="311">
        <f>(D24/D$36)*'RBL 2'!F$37</f>
        <v>0</v>
      </c>
      <c r="Y24" s="334">
        <f t="shared" si="17"/>
        <v>0</v>
      </c>
      <c r="Z24" s="335">
        <f t="shared" si="2"/>
        <v>0</v>
      </c>
      <c r="AA24" s="336">
        <f t="shared" si="3"/>
        <v>0</v>
      </c>
      <c r="AB24" s="336">
        <f t="shared" si="18"/>
        <v>0</v>
      </c>
      <c r="AC24" s="335">
        <f t="shared" si="4"/>
        <v>0</v>
      </c>
      <c r="AD24" s="337">
        <f t="shared" si="19"/>
        <v>0</v>
      </c>
      <c r="AE24" s="337">
        <f t="shared" si="20"/>
        <v>0</v>
      </c>
      <c r="AF24" s="338">
        <f t="shared" si="5"/>
        <v>0</v>
      </c>
      <c r="AG24" s="348" t="e">
        <f t="shared" si="21"/>
        <v>#DIV/0!</v>
      </c>
    </row>
    <row r="25" spans="1:35" ht="15.4" hidden="1">
      <c r="A25" s="254">
        <v>18</v>
      </c>
      <c r="B25" s="260"/>
      <c r="C25" s="261"/>
      <c r="D25" s="262"/>
      <c r="E25" s="257"/>
      <c r="F25" s="258"/>
      <c r="G25" s="259">
        <f t="shared" si="6"/>
        <v>0</v>
      </c>
      <c r="H25" s="259"/>
      <c r="I25" s="259">
        <f t="shared" si="7"/>
        <v>0</v>
      </c>
      <c r="J25" s="283">
        <f t="shared" si="8"/>
        <v>0</v>
      </c>
      <c r="K25" s="284">
        <f t="shared" si="9"/>
        <v>0</v>
      </c>
      <c r="L25" s="285">
        <f t="shared" si="10"/>
        <v>0</v>
      </c>
      <c r="M25" s="286">
        <v>1</v>
      </c>
      <c r="N25" s="287"/>
      <c r="O25" s="287">
        <f t="shared" si="11"/>
        <v>0</v>
      </c>
      <c r="P25" s="287">
        <f t="shared" si="12"/>
        <v>0</v>
      </c>
      <c r="Q25" s="287">
        <f t="shared" si="13"/>
        <v>0</v>
      </c>
      <c r="R25" s="287">
        <f t="shared" si="14"/>
        <v>0</v>
      </c>
      <c r="S25" s="287">
        <f t="shared" si="15"/>
        <v>0</v>
      </c>
      <c r="T25" s="287">
        <f t="shared" si="0"/>
        <v>0</v>
      </c>
      <c r="U25" s="287">
        <f t="shared" si="1"/>
        <v>0</v>
      </c>
      <c r="V25" s="291">
        <f t="shared" si="16"/>
        <v>0</v>
      </c>
      <c r="W25" s="311">
        <f>(D25/D$36)*'RBL 2'!F$25</f>
        <v>0</v>
      </c>
      <c r="X25" s="311">
        <f>(D25/D$36)*'RBL 2'!F$37</f>
        <v>0</v>
      </c>
      <c r="Y25" s="334">
        <f t="shared" si="17"/>
        <v>0</v>
      </c>
      <c r="Z25" s="335">
        <f t="shared" si="2"/>
        <v>0</v>
      </c>
      <c r="AA25" s="336">
        <f t="shared" si="3"/>
        <v>0</v>
      </c>
      <c r="AB25" s="336">
        <f t="shared" si="18"/>
        <v>0</v>
      </c>
      <c r="AC25" s="335">
        <f t="shared" si="4"/>
        <v>0</v>
      </c>
      <c r="AD25" s="337">
        <f t="shared" si="19"/>
        <v>0</v>
      </c>
      <c r="AE25" s="337">
        <f t="shared" si="20"/>
        <v>0</v>
      </c>
      <c r="AF25" s="338">
        <f t="shared" si="5"/>
        <v>0</v>
      </c>
      <c r="AG25" s="348" t="e">
        <f t="shared" si="21"/>
        <v>#DIV/0!</v>
      </c>
    </row>
    <row r="26" spans="1:35" ht="15.4" hidden="1">
      <c r="A26" s="254">
        <v>19</v>
      </c>
      <c r="B26" s="260"/>
      <c r="C26" s="261"/>
      <c r="D26" s="262"/>
      <c r="E26" s="257"/>
      <c r="F26" s="258">
        <f t="shared" ref="F26:F34" si="22">C26*E26</f>
        <v>0</v>
      </c>
      <c r="G26" s="259">
        <f t="shared" ref="G26:G34" si="23">F26*$G$12</f>
        <v>0</v>
      </c>
      <c r="H26" s="259"/>
      <c r="I26" s="259">
        <f t="shared" ref="I26:I34" si="24">(H26*100/111)*$I$12</f>
        <v>0</v>
      </c>
      <c r="J26" s="283">
        <f t="shared" ref="J26:J34" si="25">H26-I26</f>
        <v>0</v>
      </c>
      <c r="K26" s="284">
        <f t="shared" ref="K26:K34" si="26">F26+G26+H26</f>
        <v>0</v>
      </c>
      <c r="L26" s="285">
        <f t="shared" ref="L26:L34" si="27">C26*$L$12</f>
        <v>0</v>
      </c>
      <c r="M26" s="286">
        <v>1</v>
      </c>
      <c r="N26" s="287"/>
      <c r="O26" s="287">
        <f t="shared" si="11"/>
        <v>0</v>
      </c>
      <c r="P26" s="287">
        <f t="shared" si="12"/>
        <v>0</v>
      </c>
      <c r="Q26" s="287">
        <f t="shared" si="13"/>
        <v>0</v>
      </c>
      <c r="R26" s="287">
        <f t="shared" si="14"/>
        <v>0</v>
      </c>
      <c r="S26" s="287">
        <f t="shared" si="15"/>
        <v>0</v>
      </c>
      <c r="T26" s="287">
        <f t="shared" si="0"/>
        <v>0</v>
      </c>
      <c r="U26" s="287">
        <f t="shared" si="1"/>
        <v>0</v>
      </c>
      <c r="V26" s="291">
        <f t="shared" si="16"/>
        <v>0</v>
      </c>
      <c r="W26" s="311">
        <f>(D26/D$36)*'RBL 2'!F$25</f>
        <v>0</v>
      </c>
      <c r="X26" s="311">
        <f>(D26/D$36)*'RBL 2'!F$37</f>
        <v>0</v>
      </c>
      <c r="Y26" s="334">
        <f t="shared" ref="Y26:Y34" si="28">SUM(V26:X26)</f>
        <v>0</v>
      </c>
      <c r="Z26" s="335">
        <f t="shared" ref="Z26:Z34" si="29">Y26*$Z$12</f>
        <v>0</v>
      </c>
      <c r="AA26" s="336">
        <f t="shared" ref="AA26:AA34" si="30">Y26*$AA$12</f>
        <v>0</v>
      </c>
      <c r="AB26" s="336">
        <f t="shared" si="18"/>
        <v>0</v>
      </c>
      <c r="AC26" s="335">
        <f t="shared" ref="AC26:AC34" si="31">Y26*$AC$12</f>
        <v>0</v>
      </c>
      <c r="AD26" s="337">
        <f t="shared" ref="AD26:AD34" si="32">SUM(Z26:AC26)</f>
        <v>0</v>
      </c>
      <c r="AE26" s="337">
        <f t="shared" ref="AE26:AE34" si="33">Y26+AD26</f>
        <v>0</v>
      </c>
      <c r="AF26" s="338">
        <f t="shared" si="5"/>
        <v>0</v>
      </c>
      <c r="AG26" s="348" t="e">
        <f t="shared" si="21"/>
        <v>#DIV/0!</v>
      </c>
    </row>
    <row r="27" spans="1:35" ht="15.4" hidden="1">
      <c r="A27" s="254">
        <v>20</v>
      </c>
      <c r="B27" s="260"/>
      <c r="C27" s="261"/>
      <c r="D27" s="262"/>
      <c r="E27" s="257"/>
      <c r="F27" s="258">
        <f t="shared" si="22"/>
        <v>0</v>
      </c>
      <c r="G27" s="259">
        <f t="shared" si="23"/>
        <v>0</v>
      </c>
      <c r="H27" s="259"/>
      <c r="I27" s="259">
        <f t="shared" si="24"/>
        <v>0</v>
      </c>
      <c r="J27" s="283">
        <f t="shared" si="25"/>
        <v>0</v>
      </c>
      <c r="K27" s="284">
        <f t="shared" si="26"/>
        <v>0</v>
      </c>
      <c r="L27" s="285">
        <f t="shared" si="27"/>
        <v>0</v>
      </c>
      <c r="M27" s="286">
        <v>1</v>
      </c>
      <c r="N27" s="287"/>
      <c r="O27" s="287">
        <f t="shared" si="11"/>
        <v>0</v>
      </c>
      <c r="P27" s="287">
        <f t="shared" si="12"/>
        <v>0</v>
      </c>
      <c r="Q27" s="287">
        <f t="shared" si="13"/>
        <v>0</v>
      </c>
      <c r="R27" s="287">
        <f t="shared" si="14"/>
        <v>0</v>
      </c>
      <c r="S27" s="287">
        <f t="shared" si="15"/>
        <v>0</v>
      </c>
      <c r="T27" s="287">
        <f t="shared" si="0"/>
        <v>0</v>
      </c>
      <c r="U27" s="287">
        <f t="shared" si="1"/>
        <v>0</v>
      </c>
      <c r="V27" s="291">
        <f t="shared" si="16"/>
        <v>0</v>
      </c>
      <c r="W27" s="311">
        <f>(D27/D$36)*'RBL 2'!F$25</f>
        <v>0</v>
      </c>
      <c r="X27" s="311">
        <f>(D27/D$36)*'RBL 2'!F$37</f>
        <v>0</v>
      </c>
      <c r="Y27" s="334">
        <f t="shared" si="28"/>
        <v>0</v>
      </c>
      <c r="Z27" s="335">
        <f t="shared" si="29"/>
        <v>0</v>
      </c>
      <c r="AA27" s="336">
        <f t="shared" si="30"/>
        <v>0</v>
      </c>
      <c r="AB27" s="336">
        <f t="shared" si="18"/>
        <v>0</v>
      </c>
      <c r="AC27" s="335">
        <f t="shared" si="31"/>
        <v>0</v>
      </c>
      <c r="AD27" s="337">
        <f t="shared" si="32"/>
        <v>0</v>
      </c>
      <c r="AE27" s="337">
        <f t="shared" si="33"/>
        <v>0</v>
      </c>
      <c r="AF27" s="338">
        <f t="shared" si="5"/>
        <v>0</v>
      </c>
      <c r="AG27" s="348" t="e">
        <f t="shared" si="21"/>
        <v>#DIV/0!</v>
      </c>
    </row>
    <row r="28" spans="1:35" ht="15.4" hidden="1">
      <c r="A28" s="254">
        <v>21</v>
      </c>
      <c r="B28" s="260"/>
      <c r="C28" s="261"/>
      <c r="D28" s="262"/>
      <c r="E28" s="257"/>
      <c r="F28" s="258">
        <f t="shared" si="22"/>
        <v>0</v>
      </c>
      <c r="G28" s="259">
        <f t="shared" si="23"/>
        <v>0</v>
      </c>
      <c r="H28" s="259"/>
      <c r="I28" s="259">
        <f t="shared" si="24"/>
        <v>0</v>
      </c>
      <c r="J28" s="283">
        <f t="shared" si="25"/>
        <v>0</v>
      </c>
      <c r="K28" s="284">
        <f t="shared" si="26"/>
        <v>0</v>
      </c>
      <c r="L28" s="285">
        <f t="shared" si="27"/>
        <v>0</v>
      </c>
      <c r="M28" s="286">
        <v>1</v>
      </c>
      <c r="N28" s="287"/>
      <c r="O28" s="287">
        <f t="shared" si="11"/>
        <v>0</v>
      </c>
      <c r="P28" s="287">
        <f t="shared" si="12"/>
        <v>0</v>
      </c>
      <c r="Q28" s="287">
        <f t="shared" si="13"/>
        <v>0</v>
      </c>
      <c r="R28" s="287">
        <f t="shared" si="14"/>
        <v>0</v>
      </c>
      <c r="S28" s="287">
        <f t="shared" si="15"/>
        <v>0</v>
      </c>
      <c r="T28" s="287">
        <f t="shared" si="0"/>
        <v>0</v>
      </c>
      <c r="U28" s="287">
        <f t="shared" si="1"/>
        <v>0</v>
      </c>
      <c r="V28" s="291">
        <f t="shared" si="16"/>
        <v>0</v>
      </c>
      <c r="W28" s="311">
        <f>(D28/D$36)*'RBL 2'!F$25</f>
        <v>0</v>
      </c>
      <c r="X28" s="311">
        <f>(D28/D$36)*'RBL 2'!F$37</f>
        <v>0</v>
      </c>
      <c r="Y28" s="334">
        <f t="shared" si="28"/>
        <v>0</v>
      </c>
      <c r="Z28" s="335">
        <f t="shared" si="29"/>
        <v>0</v>
      </c>
      <c r="AA28" s="336">
        <f t="shared" si="30"/>
        <v>0</v>
      </c>
      <c r="AB28" s="336">
        <f t="shared" si="18"/>
        <v>0</v>
      </c>
      <c r="AC28" s="335">
        <f t="shared" si="31"/>
        <v>0</v>
      </c>
      <c r="AD28" s="337">
        <f t="shared" si="32"/>
        <v>0</v>
      </c>
      <c r="AE28" s="337">
        <f t="shared" si="33"/>
        <v>0</v>
      </c>
      <c r="AF28" s="338">
        <f t="shared" si="5"/>
        <v>0</v>
      </c>
      <c r="AG28" s="348" t="e">
        <f t="shared" si="21"/>
        <v>#DIV/0!</v>
      </c>
    </row>
    <row r="29" spans="1:35" ht="15.4" hidden="1">
      <c r="A29" s="254">
        <v>22</v>
      </c>
      <c r="B29" s="260"/>
      <c r="C29" s="261"/>
      <c r="D29" s="262"/>
      <c r="E29" s="257"/>
      <c r="F29" s="258">
        <f t="shared" si="22"/>
        <v>0</v>
      </c>
      <c r="G29" s="259">
        <f t="shared" si="23"/>
        <v>0</v>
      </c>
      <c r="H29" s="259"/>
      <c r="I29" s="259">
        <f t="shared" si="24"/>
        <v>0</v>
      </c>
      <c r="J29" s="283">
        <f t="shared" si="25"/>
        <v>0</v>
      </c>
      <c r="K29" s="284">
        <f t="shared" si="26"/>
        <v>0</v>
      </c>
      <c r="L29" s="285">
        <f t="shared" si="27"/>
        <v>0</v>
      </c>
      <c r="M29" s="286">
        <v>1</v>
      </c>
      <c r="N29" s="287"/>
      <c r="O29" s="287">
        <f t="shared" si="11"/>
        <v>0</v>
      </c>
      <c r="P29" s="287">
        <f t="shared" si="12"/>
        <v>0</v>
      </c>
      <c r="Q29" s="287">
        <f t="shared" si="13"/>
        <v>0</v>
      </c>
      <c r="R29" s="287">
        <f t="shared" si="14"/>
        <v>0</v>
      </c>
      <c r="S29" s="287">
        <f t="shared" si="15"/>
        <v>0</v>
      </c>
      <c r="T29" s="287">
        <f t="shared" si="0"/>
        <v>0</v>
      </c>
      <c r="U29" s="287">
        <f t="shared" si="1"/>
        <v>0</v>
      </c>
      <c r="V29" s="291">
        <f t="shared" si="16"/>
        <v>0</v>
      </c>
      <c r="W29" s="311">
        <f>(D29/D$36)*'RBL 2'!F$25</f>
        <v>0</v>
      </c>
      <c r="X29" s="311">
        <f>(D29/D$36)*'RBL 2'!F$37</f>
        <v>0</v>
      </c>
      <c r="Y29" s="334">
        <f t="shared" si="28"/>
        <v>0</v>
      </c>
      <c r="Z29" s="335">
        <f t="shared" si="29"/>
        <v>0</v>
      </c>
      <c r="AA29" s="336">
        <f t="shared" si="30"/>
        <v>0</v>
      </c>
      <c r="AB29" s="336">
        <f t="shared" si="18"/>
        <v>0</v>
      </c>
      <c r="AC29" s="335">
        <f t="shared" si="31"/>
        <v>0</v>
      </c>
      <c r="AD29" s="337">
        <f t="shared" si="32"/>
        <v>0</v>
      </c>
      <c r="AE29" s="337">
        <f t="shared" si="33"/>
        <v>0</v>
      </c>
      <c r="AF29" s="338">
        <f t="shared" si="5"/>
        <v>0</v>
      </c>
      <c r="AG29" s="348" t="e">
        <f t="shared" si="21"/>
        <v>#DIV/0!</v>
      </c>
    </row>
    <row r="30" spans="1:35" ht="15.4" hidden="1">
      <c r="A30" s="254">
        <v>23</v>
      </c>
      <c r="B30" s="260"/>
      <c r="C30" s="261"/>
      <c r="D30" s="262"/>
      <c r="E30" s="257"/>
      <c r="F30" s="258">
        <f t="shared" si="22"/>
        <v>0</v>
      </c>
      <c r="G30" s="259">
        <f t="shared" si="23"/>
        <v>0</v>
      </c>
      <c r="H30" s="259"/>
      <c r="I30" s="259">
        <f t="shared" si="24"/>
        <v>0</v>
      </c>
      <c r="J30" s="283">
        <f t="shared" si="25"/>
        <v>0</v>
      </c>
      <c r="K30" s="284">
        <f t="shared" si="26"/>
        <v>0</v>
      </c>
      <c r="L30" s="285">
        <f t="shared" si="27"/>
        <v>0</v>
      </c>
      <c r="M30" s="286">
        <v>1</v>
      </c>
      <c r="N30" s="287"/>
      <c r="O30" s="287">
        <f t="shared" si="11"/>
        <v>0</v>
      </c>
      <c r="P30" s="287">
        <f t="shared" si="12"/>
        <v>0</v>
      </c>
      <c r="Q30" s="287">
        <f t="shared" si="13"/>
        <v>0</v>
      </c>
      <c r="R30" s="287">
        <f t="shared" si="14"/>
        <v>0</v>
      </c>
      <c r="S30" s="287">
        <f t="shared" si="15"/>
        <v>0</v>
      </c>
      <c r="T30" s="287">
        <f t="shared" si="0"/>
        <v>0</v>
      </c>
      <c r="U30" s="287">
        <f t="shared" si="1"/>
        <v>0</v>
      </c>
      <c r="V30" s="291">
        <f t="shared" si="16"/>
        <v>0</v>
      </c>
      <c r="W30" s="311">
        <f>(D30/D$36)*'RBL 2'!F$25</f>
        <v>0</v>
      </c>
      <c r="X30" s="311">
        <f>(D30/D$36)*'RBL 2'!F$37</f>
        <v>0</v>
      </c>
      <c r="Y30" s="334">
        <f t="shared" si="28"/>
        <v>0</v>
      </c>
      <c r="Z30" s="335">
        <f t="shared" si="29"/>
        <v>0</v>
      </c>
      <c r="AA30" s="336">
        <f t="shared" si="30"/>
        <v>0</v>
      </c>
      <c r="AB30" s="336">
        <f t="shared" si="18"/>
        <v>0</v>
      </c>
      <c r="AC30" s="335">
        <f t="shared" si="31"/>
        <v>0</v>
      </c>
      <c r="AD30" s="337">
        <f t="shared" si="32"/>
        <v>0</v>
      </c>
      <c r="AE30" s="337">
        <f t="shared" si="33"/>
        <v>0</v>
      </c>
      <c r="AF30" s="338">
        <f t="shared" si="5"/>
        <v>0</v>
      </c>
      <c r="AG30" s="348" t="e">
        <f t="shared" si="21"/>
        <v>#DIV/0!</v>
      </c>
      <c r="AI30" s="349"/>
    </row>
    <row r="31" spans="1:35" ht="15.4" hidden="1">
      <c r="A31" s="254">
        <v>24</v>
      </c>
      <c r="B31" s="260"/>
      <c r="C31" s="261"/>
      <c r="D31" s="262"/>
      <c r="E31" s="257"/>
      <c r="F31" s="258">
        <f t="shared" si="22"/>
        <v>0</v>
      </c>
      <c r="G31" s="259">
        <f t="shared" si="23"/>
        <v>0</v>
      </c>
      <c r="H31" s="259"/>
      <c r="I31" s="259">
        <f t="shared" si="24"/>
        <v>0</v>
      </c>
      <c r="J31" s="283">
        <f t="shared" si="25"/>
        <v>0</v>
      </c>
      <c r="K31" s="284">
        <f t="shared" si="26"/>
        <v>0</v>
      </c>
      <c r="L31" s="285">
        <f t="shared" si="27"/>
        <v>0</v>
      </c>
      <c r="M31" s="286">
        <v>1</v>
      </c>
      <c r="N31" s="287"/>
      <c r="O31" s="287">
        <f t="shared" si="11"/>
        <v>0</v>
      </c>
      <c r="P31" s="287">
        <f t="shared" si="12"/>
        <v>0</v>
      </c>
      <c r="Q31" s="287">
        <f t="shared" si="13"/>
        <v>0</v>
      </c>
      <c r="R31" s="287">
        <f t="shared" si="14"/>
        <v>0</v>
      </c>
      <c r="S31" s="287">
        <f t="shared" si="15"/>
        <v>0</v>
      </c>
      <c r="T31" s="287">
        <f t="shared" si="0"/>
        <v>0</v>
      </c>
      <c r="U31" s="287">
        <f t="shared" si="1"/>
        <v>0</v>
      </c>
      <c r="V31" s="291">
        <f t="shared" si="16"/>
        <v>0</v>
      </c>
      <c r="W31" s="311">
        <f>(D31/D$36)*'RBL 2'!F$25</f>
        <v>0</v>
      </c>
      <c r="X31" s="311">
        <f>(D31/D$36)*'RBL 2'!F$37</f>
        <v>0</v>
      </c>
      <c r="Y31" s="334">
        <f t="shared" si="28"/>
        <v>0</v>
      </c>
      <c r="Z31" s="335">
        <f t="shared" si="29"/>
        <v>0</v>
      </c>
      <c r="AA31" s="336">
        <f t="shared" si="30"/>
        <v>0</v>
      </c>
      <c r="AB31" s="336">
        <f t="shared" si="18"/>
        <v>0</v>
      </c>
      <c r="AC31" s="335">
        <f t="shared" si="31"/>
        <v>0</v>
      </c>
      <c r="AD31" s="337">
        <f t="shared" si="32"/>
        <v>0</v>
      </c>
      <c r="AE31" s="337">
        <f t="shared" si="33"/>
        <v>0</v>
      </c>
      <c r="AF31" s="338">
        <f t="shared" si="5"/>
        <v>0</v>
      </c>
      <c r="AG31" s="348" t="e">
        <f t="shared" si="21"/>
        <v>#DIV/0!</v>
      </c>
    </row>
    <row r="32" spans="1:35" ht="15.4" hidden="1">
      <c r="A32" s="254">
        <v>25</v>
      </c>
      <c r="B32" s="260"/>
      <c r="C32" s="261"/>
      <c r="D32" s="262"/>
      <c r="E32" s="257"/>
      <c r="F32" s="258">
        <f t="shared" si="22"/>
        <v>0</v>
      </c>
      <c r="G32" s="259">
        <f t="shared" si="23"/>
        <v>0</v>
      </c>
      <c r="H32" s="259"/>
      <c r="I32" s="259">
        <f t="shared" si="24"/>
        <v>0</v>
      </c>
      <c r="J32" s="283">
        <f t="shared" si="25"/>
        <v>0</v>
      </c>
      <c r="K32" s="284">
        <f t="shared" si="26"/>
        <v>0</v>
      </c>
      <c r="L32" s="285">
        <f t="shared" si="27"/>
        <v>0</v>
      </c>
      <c r="M32" s="286">
        <v>1</v>
      </c>
      <c r="N32" s="287"/>
      <c r="O32" s="287">
        <f t="shared" si="11"/>
        <v>0</v>
      </c>
      <c r="P32" s="287">
        <f t="shared" si="12"/>
        <v>0</v>
      </c>
      <c r="Q32" s="287">
        <f t="shared" si="13"/>
        <v>0</v>
      </c>
      <c r="R32" s="287">
        <f t="shared" si="14"/>
        <v>0</v>
      </c>
      <c r="S32" s="287">
        <f t="shared" si="15"/>
        <v>0</v>
      </c>
      <c r="T32" s="287">
        <f t="shared" si="0"/>
        <v>0</v>
      </c>
      <c r="U32" s="287">
        <f t="shared" si="1"/>
        <v>0</v>
      </c>
      <c r="V32" s="291">
        <f t="shared" si="16"/>
        <v>0</v>
      </c>
      <c r="W32" s="311">
        <f>(D32/D$36)*'RBL 2'!F$25</f>
        <v>0</v>
      </c>
      <c r="X32" s="311">
        <f>(D32/D$36)*'RBL 2'!F$37</f>
        <v>0</v>
      </c>
      <c r="Y32" s="334">
        <f t="shared" si="28"/>
        <v>0</v>
      </c>
      <c r="Z32" s="335">
        <f t="shared" si="29"/>
        <v>0</v>
      </c>
      <c r="AA32" s="336">
        <f t="shared" si="30"/>
        <v>0</v>
      </c>
      <c r="AB32" s="336">
        <f t="shared" si="18"/>
        <v>0</v>
      </c>
      <c r="AC32" s="335">
        <f t="shared" si="31"/>
        <v>0</v>
      </c>
      <c r="AD32" s="337">
        <f t="shared" si="32"/>
        <v>0</v>
      </c>
      <c r="AE32" s="337">
        <f t="shared" si="33"/>
        <v>0</v>
      </c>
      <c r="AF32" s="338">
        <f t="shared" si="5"/>
        <v>0</v>
      </c>
      <c r="AG32" s="348" t="e">
        <f t="shared" si="21"/>
        <v>#DIV/0!</v>
      </c>
    </row>
    <row r="33" spans="1:35" ht="15.4" hidden="1">
      <c r="A33" s="254">
        <v>26</v>
      </c>
      <c r="B33" s="260"/>
      <c r="C33" s="261"/>
      <c r="D33" s="262"/>
      <c r="E33" s="257"/>
      <c r="F33" s="258">
        <f t="shared" si="22"/>
        <v>0</v>
      </c>
      <c r="G33" s="259">
        <f t="shared" si="23"/>
        <v>0</v>
      </c>
      <c r="H33" s="259"/>
      <c r="I33" s="259">
        <f t="shared" si="24"/>
        <v>0</v>
      </c>
      <c r="J33" s="283">
        <f t="shared" si="25"/>
        <v>0</v>
      </c>
      <c r="K33" s="284">
        <f t="shared" si="26"/>
        <v>0</v>
      </c>
      <c r="L33" s="285">
        <f t="shared" si="27"/>
        <v>0</v>
      </c>
      <c r="M33" s="286">
        <v>1</v>
      </c>
      <c r="N33" s="287"/>
      <c r="O33" s="287">
        <f t="shared" si="11"/>
        <v>0</v>
      </c>
      <c r="P33" s="287">
        <f t="shared" si="12"/>
        <v>0</v>
      </c>
      <c r="Q33" s="287">
        <f t="shared" si="13"/>
        <v>0</v>
      </c>
      <c r="R33" s="287">
        <f t="shared" si="14"/>
        <v>0</v>
      </c>
      <c r="S33" s="287">
        <f t="shared" si="15"/>
        <v>0</v>
      </c>
      <c r="T33" s="287">
        <f t="shared" si="0"/>
        <v>0</v>
      </c>
      <c r="U33" s="287">
        <f t="shared" si="1"/>
        <v>0</v>
      </c>
      <c r="V33" s="291">
        <f t="shared" si="16"/>
        <v>0</v>
      </c>
      <c r="W33" s="311">
        <f>(D33/D$36)*'RBL 2'!F$25</f>
        <v>0</v>
      </c>
      <c r="X33" s="311">
        <f>(D33/D$36)*'RBL 2'!F$37</f>
        <v>0</v>
      </c>
      <c r="Y33" s="334">
        <f t="shared" si="28"/>
        <v>0</v>
      </c>
      <c r="Z33" s="335">
        <f t="shared" si="29"/>
        <v>0</v>
      </c>
      <c r="AA33" s="336">
        <f t="shared" si="30"/>
        <v>0</v>
      </c>
      <c r="AB33" s="336">
        <f t="shared" si="18"/>
        <v>0</v>
      </c>
      <c r="AC33" s="335">
        <f t="shared" si="31"/>
        <v>0</v>
      </c>
      <c r="AD33" s="337">
        <f t="shared" si="32"/>
        <v>0</v>
      </c>
      <c r="AE33" s="337">
        <f t="shared" si="33"/>
        <v>0</v>
      </c>
      <c r="AF33" s="338">
        <f t="shared" si="5"/>
        <v>0</v>
      </c>
      <c r="AG33" s="348" t="e">
        <f t="shared" si="21"/>
        <v>#DIV/0!</v>
      </c>
    </row>
    <row r="34" spans="1:35" ht="15.4" hidden="1">
      <c r="A34" s="254">
        <v>27</v>
      </c>
      <c r="B34" s="260"/>
      <c r="C34" s="261"/>
      <c r="D34" s="262"/>
      <c r="E34" s="257"/>
      <c r="F34" s="258">
        <f t="shared" si="22"/>
        <v>0</v>
      </c>
      <c r="G34" s="259">
        <f t="shared" si="23"/>
        <v>0</v>
      </c>
      <c r="H34" s="259"/>
      <c r="I34" s="259">
        <f t="shared" si="24"/>
        <v>0</v>
      </c>
      <c r="J34" s="283">
        <f t="shared" si="25"/>
        <v>0</v>
      </c>
      <c r="K34" s="284">
        <f t="shared" si="26"/>
        <v>0</v>
      </c>
      <c r="L34" s="285">
        <f t="shared" si="27"/>
        <v>0</v>
      </c>
      <c r="M34" s="286">
        <v>1</v>
      </c>
      <c r="N34" s="287"/>
      <c r="O34" s="287">
        <f t="shared" si="11"/>
        <v>0</v>
      </c>
      <c r="P34" s="287">
        <f t="shared" si="12"/>
        <v>0</v>
      </c>
      <c r="Q34" s="287">
        <f t="shared" si="13"/>
        <v>0</v>
      </c>
      <c r="R34" s="287">
        <f t="shared" si="14"/>
        <v>0</v>
      </c>
      <c r="S34" s="287">
        <f t="shared" si="15"/>
        <v>0</v>
      </c>
      <c r="T34" s="287">
        <f t="shared" si="0"/>
        <v>0</v>
      </c>
      <c r="U34" s="287">
        <f t="shared" si="1"/>
        <v>0</v>
      </c>
      <c r="V34" s="291">
        <f t="shared" si="16"/>
        <v>0</v>
      </c>
      <c r="W34" s="311">
        <f>(D34/D$36)*'RBL 2'!F$25</f>
        <v>0</v>
      </c>
      <c r="X34" s="311">
        <f>(D34/D$36)*'RBL 2'!F$37</f>
        <v>0</v>
      </c>
      <c r="Y34" s="334">
        <f t="shared" si="28"/>
        <v>0</v>
      </c>
      <c r="Z34" s="335">
        <f t="shared" si="29"/>
        <v>0</v>
      </c>
      <c r="AA34" s="336">
        <f t="shared" si="30"/>
        <v>0</v>
      </c>
      <c r="AB34" s="336">
        <f t="shared" si="18"/>
        <v>0</v>
      </c>
      <c r="AC34" s="335">
        <f t="shared" si="31"/>
        <v>0</v>
      </c>
      <c r="AD34" s="337">
        <f t="shared" si="32"/>
        <v>0</v>
      </c>
      <c r="AE34" s="337">
        <f t="shared" si="33"/>
        <v>0</v>
      </c>
      <c r="AF34" s="338">
        <f t="shared" si="5"/>
        <v>0</v>
      </c>
      <c r="AG34" s="348" t="e">
        <f t="shared" si="21"/>
        <v>#DIV/0!</v>
      </c>
    </row>
    <row r="35" spans="1:35">
      <c r="A35" s="502"/>
      <c r="B35" s="503"/>
      <c r="C35" s="263"/>
      <c r="D35" s="263"/>
      <c r="E35" s="263"/>
      <c r="F35" s="263"/>
      <c r="G35" s="264"/>
      <c r="H35" s="264"/>
      <c r="I35" s="264"/>
      <c r="J35" s="264"/>
      <c r="K35" s="288"/>
      <c r="L35" s="264"/>
      <c r="M35" s="289"/>
      <c r="N35" s="290"/>
      <c r="O35" s="290"/>
      <c r="P35" s="290"/>
      <c r="Q35" s="290"/>
      <c r="R35" s="290"/>
      <c r="S35" s="264"/>
      <c r="T35" s="264"/>
      <c r="U35" s="264"/>
      <c r="V35" s="264"/>
      <c r="W35" s="264"/>
      <c r="X35" s="264"/>
      <c r="Y35" s="264"/>
      <c r="Z35" s="339"/>
      <c r="AA35" s="264"/>
      <c r="AB35" s="264"/>
      <c r="AC35" s="264"/>
      <c r="AD35" s="340"/>
      <c r="AE35" s="264"/>
      <c r="AF35" s="264"/>
      <c r="AG35" s="264"/>
    </row>
    <row r="36" spans="1:35">
      <c r="A36" s="504" t="s">
        <v>40</v>
      </c>
      <c r="B36" s="505"/>
      <c r="C36" s="265">
        <f>SUM(C14:C35)</f>
        <v>2587</v>
      </c>
      <c r="D36" s="265">
        <f>SUM(D14:D35)</f>
        <v>122</v>
      </c>
      <c r="E36" s="266"/>
      <c r="F36" s="267">
        <f t="shared" ref="F36:L36" si="34">SUM(F14:F35)</f>
        <v>33000000</v>
      </c>
      <c r="G36" s="268">
        <f t="shared" si="34"/>
        <v>0</v>
      </c>
      <c r="H36" s="268">
        <f t="shared" si="34"/>
        <v>0</v>
      </c>
      <c r="I36" s="268">
        <f t="shared" si="34"/>
        <v>0</v>
      </c>
      <c r="J36" s="268">
        <f t="shared" si="34"/>
        <v>0</v>
      </c>
      <c r="K36" s="291">
        <f t="shared" si="34"/>
        <v>33000000</v>
      </c>
      <c r="L36" s="291">
        <f t="shared" si="34"/>
        <v>0</v>
      </c>
      <c r="M36" s="292"/>
      <c r="N36" s="291">
        <f t="shared" ref="N36:Y36" si="35">SUM(N14:N35)</f>
        <v>28600000</v>
      </c>
      <c r="O36" s="291">
        <f t="shared" si="35"/>
        <v>0</v>
      </c>
      <c r="P36" s="291">
        <f t="shared" si="35"/>
        <v>0</v>
      </c>
      <c r="Q36" s="291">
        <f t="shared" si="35"/>
        <v>572000</v>
      </c>
      <c r="R36" s="291">
        <f t="shared" si="35"/>
        <v>28028000</v>
      </c>
      <c r="S36" s="291">
        <f t="shared" si="35"/>
        <v>28600000</v>
      </c>
      <c r="T36" s="291">
        <f t="shared" si="35"/>
        <v>0</v>
      </c>
      <c r="U36" s="291">
        <f t="shared" si="35"/>
        <v>0</v>
      </c>
      <c r="V36" s="284">
        <f t="shared" si="35"/>
        <v>28600000</v>
      </c>
      <c r="W36" s="284">
        <f t="shared" si="35"/>
        <v>0</v>
      </c>
      <c r="X36" s="284">
        <f t="shared" si="35"/>
        <v>0</v>
      </c>
      <c r="Y36" s="291">
        <f t="shared" si="35"/>
        <v>28600000</v>
      </c>
      <c r="Z36" s="291">
        <f t="shared" ref="Z36:AF36" si="36">SUM(Z14:Z35)</f>
        <v>286000</v>
      </c>
      <c r="AA36" s="338">
        <f t="shared" si="36"/>
        <v>188054.79452054793</v>
      </c>
      <c r="AB36" s="338">
        <f t="shared" si="36"/>
        <v>0</v>
      </c>
      <c r="AC36" s="338">
        <f t="shared" si="36"/>
        <v>0</v>
      </c>
      <c r="AD36" s="338">
        <f t="shared" si="36"/>
        <v>474054.79452054796</v>
      </c>
      <c r="AE36" s="338">
        <f t="shared" si="36"/>
        <v>29074054.794520549</v>
      </c>
      <c r="AF36" s="340">
        <f t="shared" si="36"/>
        <v>3925945.2054794505</v>
      </c>
      <c r="AG36" s="350">
        <f>AF36/(F36)</f>
        <v>0.11896803652968031</v>
      </c>
    </row>
    <row r="37" spans="1:35">
      <c r="A37" s="269"/>
      <c r="B37" s="269"/>
      <c r="C37" s="269"/>
      <c r="D37" s="269"/>
      <c r="E37" s="269"/>
      <c r="F37" s="269"/>
      <c r="G37" s="269"/>
      <c r="H37" s="269"/>
      <c r="I37" s="269"/>
      <c r="J37" s="269"/>
      <c r="K37" s="269"/>
      <c r="L37" s="293"/>
      <c r="M37" s="294"/>
      <c r="N37" s="295"/>
      <c r="O37" s="295"/>
      <c r="P37" s="295"/>
      <c r="Q37" s="295"/>
      <c r="R37" s="295"/>
      <c r="S37" s="312"/>
      <c r="T37" s="269"/>
      <c r="U37" s="313"/>
      <c r="V37" s="269"/>
      <c r="W37" s="314"/>
      <c r="X37" s="314"/>
      <c r="Y37" s="313"/>
      <c r="Z37" s="269"/>
      <c r="AA37" s="269"/>
      <c r="AB37" s="269"/>
      <c r="AC37" s="269"/>
      <c r="AD37" s="269"/>
      <c r="AE37" s="269"/>
      <c r="AF37" s="341"/>
      <c r="AG37" s="269"/>
    </row>
    <row r="38" spans="1:35">
      <c r="A38" s="269"/>
      <c r="B38" s="263"/>
      <c r="C38" s="270"/>
      <c r="D38" s="270"/>
      <c r="E38" s="270"/>
      <c r="F38" s="270"/>
      <c r="G38" s="270"/>
      <c r="H38" s="270"/>
      <c r="I38" s="270"/>
      <c r="K38" s="270"/>
      <c r="L38" s="296"/>
      <c r="M38" s="297"/>
      <c r="N38" s="297"/>
      <c r="O38" s="297"/>
      <c r="P38" s="297"/>
      <c r="Q38" s="297"/>
      <c r="R38" s="297"/>
      <c r="S38" s="313"/>
      <c r="T38" s="315"/>
      <c r="U38" s="316">
        <f ca="1">U37:U38</f>
        <v>0</v>
      </c>
      <c r="V38" s="315"/>
      <c r="W38" s="317"/>
      <c r="X38" s="318"/>
      <c r="Y38" s="313"/>
      <c r="Z38" s="175"/>
      <c r="AA38" s="317"/>
      <c r="AB38" s="342"/>
      <c r="AC38" s="506" t="str">
        <f>'rekap CBA 1'!G59</f>
        <v>Batam, 17 September 2026</v>
      </c>
      <c r="AD38" s="506"/>
      <c r="AE38" s="506"/>
    </row>
    <row r="39" spans="1:35" s="244" customFormat="1" ht="15" customHeight="1">
      <c r="A39" s="271"/>
      <c r="B39" s="239" t="s">
        <v>41</v>
      </c>
      <c r="C39" s="239"/>
      <c r="D39" s="168"/>
      <c r="E39" s="168"/>
      <c r="F39" s="129" t="s">
        <v>42</v>
      </c>
      <c r="H39" s="168"/>
      <c r="I39" s="129"/>
      <c r="J39" s="298"/>
      <c r="K39" s="129" t="s">
        <v>43</v>
      </c>
      <c r="M39" s="299"/>
      <c r="N39" s="368"/>
      <c r="S39" s="319"/>
      <c r="T39" s="129"/>
      <c r="U39" s="129"/>
      <c r="V39" s="129" t="s">
        <v>43</v>
      </c>
      <c r="W39" s="129"/>
      <c r="Y39" s="168"/>
      <c r="Z39" s="239" t="s">
        <v>44</v>
      </c>
      <c r="AA39" s="298"/>
      <c r="AB39" s="168"/>
      <c r="AD39" s="168"/>
      <c r="AE39" s="129" t="s">
        <v>45</v>
      </c>
      <c r="AG39" s="129"/>
      <c r="AH39" s="351"/>
      <c r="AI39" s="351"/>
    </row>
    <row r="40" spans="1:35" s="244" customFormat="1" ht="15" customHeight="1">
      <c r="A40" s="271"/>
      <c r="B40" s="239" t="s">
        <v>46</v>
      </c>
      <c r="C40" s="239"/>
      <c r="D40" s="239"/>
      <c r="E40" s="239"/>
      <c r="F40" s="129" t="s">
        <v>47</v>
      </c>
      <c r="H40" s="272"/>
      <c r="I40" s="129"/>
      <c r="J40" s="298"/>
      <c r="K40" s="129" t="s">
        <v>48</v>
      </c>
      <c r="M40" s="299"/>
      <c r="S40" s="320"/>
      <c r="T40" s="129"/>
      <c r="U40" s="129"/>
      <c r="V40" s="129" t="s">
        <v>49</v>
      </c>
      <c r="W40" s="129"/>
      <c r="Y40" s="272"/>
      <c r="Z40" s="239" t="s">
        <v>50</v>
      </c>
      <c r="AA40" s="343"/>
      <c r="AB40" s="343"/>
      <c r="AD40" s="344"/>
      <c r="AE40" s="129" t="s">
        <v>51</v>
      </c>
      <c r="AG40" s="129"/>
      <c r="AH40" s="351"/>
      <c r="AI40" s="352"/>
    </row>
    <row r="41" spans="1:35" s="244" customFormat="1" ht="15" customHeight="1">
      <c r="A41" s="271"/>
      <c r="B41" s="129"/>
      <c r="C41" s="129"/>
      <c r="D41" s="239"/>
      <c r="E41" s="239"/>
      <c r="F41" s="129"/>
      <c r="H41" s="168"/>
      <c r="I41" s="129"/>
      <c r="J41" s="300"/>
      <c r="K41" s="129"/>
      <c r="M41" s="299"/>
      <c r="S41" s="320"/>
      <c r="T41" s="129"/>
      <c r="U41" s="129"/>
      <c r="V41" s="129"/>
      <c r="W41" s="129"/>
      <c r="Y41" s="168"/>
      <c r="Z41" s="129"/>
      <c r="AA41" s="344"/>
      <c r="AB41" s="345"/>
      <c r="AD41" s="344"/>
      <c r="AE41" s="129"/>
      <c r="AG41" s="129"/>
      <c r="AH41" s="351"/>
      <c r="AI41" s="351"/>
    </row>
    <row r="42" spans="1:35" s="244" customFormat="1" ht="15" customHeight="1">
      <c r="A42" s="271"/>
      <c r="B42" s="129"/>
      <c r="C42" s="129"/>
      <c r="D42" s="273"/>
      <c r="E42" s="273"/>
      <c r="F42" s="129"/>
      <c r="H42" s="168"/>
      <c r="I42" s="129"/>
      <c r="J42" s="301"/>
      <c r="K42" s="129"/>
      <c r="M42" s="299"/>
      <c r="S42" s="319"/>
      <c r="T42" s="129"/>
      <c r="U42" s="129"/>
      <c r="V42" s="129"/>
      <c r="W42" s="129"/>
      <c r="Y42" s="168"/>
      <c r="Z42" s="129"/>
      <c r="AA42" s="344"/>
      <c r="AB42" s="345"/>
      <c r="AD42" s="168"/>
      <c r="AE42" s="129"/>
      <c r="AG42" s="129"/>
      <c r="AH42" s="351"/>
      <c r="AI42" s="351"/>
    </row>
    <row r="43" spans="1:35" s="244" customFormat="1" ht="15" customHeight="1">
      <c r="A43" s="271"/>
      <c r="B43" s="129"/>
      <c r="C43" s="129"/>
      <c r="D43" s="273"/>
      <c r="E43" s="273"/>
      <c r="F43" s="129"/>
      <c r="H43" s="274"/>
      <c r="I43" s="129"/>
      <c r="J43" s="298"/>
      <c r="K43" s="129"/>
      <c r="M43" s="299"/>
      <c r="O43" s="365"/>
      <c r="P43" s="365"/>
      <c r="S43" s="320"/>
      <c r="T43" s="129"/>
      <c r="U43" s="129"/>
      <c r="V43" s="129"/>
      <c r="W43" s="129"/>
      <c r="Y43" s="346"/>
      <c r="Z43" s="129"/>
      <c r="AA43" s="347"/>
      <c r="AB43" s="345"/>
      <c r="AD43" s="168"/>
      <c r="AE43" s="129"/>
      <c r="AG43" s="129"/>
      <c r="AH43" s="351"/>
      <c r="AI43" s="351"/>
    </row>
    <row r="44" spans="1:35" s="244" customFormat="1" ht="15" customHeight="1">
      <c r="A44" s="271"/>
      <c r="B44" s="129" t="s">
        <v>52</v>
      </c>
      <c r="C44" s="129"/>
      <c r="D44" s="275"/>
      <c r="E44" s="507" t="s">
        <v>53</v>
      </c>
      <c r="F44" s="507"/>
      <c r="G44" s="507"/>
      <c r="H44" s="274"/>
      <c r="I44" s="129"/>
      <c r="J44" s="168"/>
      <c r="K44" s="129"/>
      <c r="M44" s="299"/>
      <c r="O44" s="365"/>
      <c r="P44" s="365"/>
      <c r="S44" s="129"/>
      <c r="T44" s="129"/>
      <c r="U44" s="129"/>
      <c r="V44" s="129"/>
      <c r="W44" s="129"/>
      <c r="Y44" s="269"/>
      <c r="Z44" s="362" t="s">
        <v>128</v>
      </c>
      <c r="AA44" s="347"/>
      <c r="AB44" s="345"/>
      <c r="AD44" s="274"/>
      <c r="AE44" s="568" t="s">
        <v>373</v>
      </c>
      <c r="AG44" s="129"/>
      <c r="AH44" s="351"/>
      <c r="AI44" s="351"/>
    </row>
    <row r="45" spans="1:35" s="244" customFormat="1" ht="15.75">
      <c r="A45" s="271"/>
      <c r="B45" s="129" t="s">
        <v>54</v>
      </c>
      <c r="C45" s="129"/>
      <c r="D45" s="240"/>
      <c r="E45" s="240"/>
      <c r="F45" s="129" t="s">
        <v>55</v>
      </c>
      <c r="G45" s="168"/>
      <c r="H45" s="168"/>
      <c r="I45" s="129"/>
      <c r="J45" s="172"/>
      <c r="K45" s="129"/>
      <c r="L45" s="274"/>
      <c r="M45" s="302"/>
      <c r="N45" s="172"/>
      <c r="O45" s="366"/>
      <c r="P45" s="366"/>
      <c r="Q45" s="172"/>
      <c r="R45" s="172"/>
      <c r="S45" s="129"/>
      <c r="T45" s="129"/>
      <c r="U45" s="129"/>
      <c r="V45" s="129"/>
      <c r="W45" s="129"/>
      <c r="X45" s="321"/>
      <c r="Y45" s="274"/>
      <c r="Z45" s="363" t="s">
        <v>130</v>
      </c>
      <c r="AA45" s="274"/>
      <c r="AB45" s="321"/>
      <c r="AD45" s="274"/>
      <c r="AE45" s="568" t="s">
        <v>374</v>
      </c>
      <c r="AG45" s="129"/>
      <c r="AH45" s="351"/>
      <c r="AI45" s="351"/>
    </row>
    <row r="46" spans="1:35">
      <c r="A46" s="276"/>
      <c r="B46" s="277"/>
      <c r="C46" s="278"/>
      <c r="D46" s="278"/>
      <c r="E46" s="278"/>
      <c r="I46" s="303"/>
      <c r="K46" s="304"/>
      <c r="M46" s="305"/>
      <c r="N46" s="306"/>
      <c r="O46" s="306"/>
      <c r="P46" s="306"/>
      <c r="Q46" s="322"/>
      <c r="R46" s="323"/>
      <c r="S46" s="306"/>
      <c r="T46" s="306"/>
      <c r="U46" s="306"/>
      <c r="V46" s="306"/>
      <c r="W46" s="306"/>
      <c r="X46" s="306"/>
      <c r="Y46" s="306"/>
      <c r="Z46" s="306"/>
      <c r="AA46" s="306"/>
      <c r="AB46" s="306"/>
      <c r="AC46" s="306"/>
      <c r="AD46" s="306"/>
    </row>
    <row r="47" spans="1:35">
      <c r="A47" s="276"/>
      <c r="B47" s="277"/>
      <c r="C47" s="278"/>
      <c r="D47" s="278"/>
      <c r="E47" s="278"/>
      <c r="K47" s="304"/>
      <c r="M47" s="305"/>
      <c r="N47" s="306"/>
      <c r="O47" s="306"/>
      <c r="P47" s="306"/>
      <c r="Q47" s="322"/>
      <c r="R47" s="322"/>
      <c r="S47" s="306"/>
      <c r="T47" s="306"/>
      <c r="U47" s="324"/>
      <c r="V47" s="306"/>
      <c r="W47" s="306"/>
      <c r="X47" s="306"/>
      <c r="Y47" s="306"/>
      <c r="Z47" s="306"/>
      <c r="AA47" s="306"/>
      <c r="AB47" s="306"/>
      <c r="AC47" s="306"/>
      <c r="AD47" s="306"/>
    </row>
    <row r="48" spans="1:35">
      <c r="A48" s="276"/>
      <c r="B48" s="277"/>
      <c r="K48" s="242"/>
      <c r="Q48" s="307"/>
      <c r="R48" s="307"/>
      <c r="AD48" s="306"/>
    </row>
    <row r="49" spans="11:28">
      <c r="K49" s="171"/>
      <c r="M49" s="169"/>
      <c r="N49" s="369"/>
      <c r="O49" s="307"/>
      <c r="AB49" s="306"/>
    </row>
    <row r="50" spans="11:28">
      <c r="K50" s="307"/>
      <c r="Q50" s="307"/>
      <c r="R50" s="303"/>
    </row>
    <row r="51" spans="11:28">
      <c r="Q51" s="307"/>
    </row>
    <row r="52" spans="11:28">
      <c r="O52" s="364"/>
      <c r="P52" s="364"/>
      <c r="S52" s="307"/>
    </row>
    <row r="53" spans="11:28">
      <c r="O53" s="364"/>
      <c r="P53" s="364"/>
      <c r="S53" s="307"/>
    </row>
    <row r="54" spans="11:28">
      <c r="S54" s="307"/>
    </row>
  </sheetData>
  <mergeCells count="44">
    <mergeCell ref="AF8:AF11"/>
    <mergeCell ref="AG8:AG11"/>
    <mergeCell ref="C8:D9"/>
    <mergeCell ref="AA9:AA11"/>
    <mergeCell ref="AB9:AB11"/>
    <mergeCell ref="AC9:AC11"/>
    <mergeCell ref="AD8:AD11"/>
    <mergeCell ref="AE8:AE11"/>
    <mergeCell ref="V9:V11"/>
    <mergeCell ref="W9:W11"/>
    <mergeCell ref="X9:X11"/>
    <mergeCell ref="Y8:Y11"/>
    <mergeCell ref="Z9:Z11"/>
    <mergeCell ref="Q9:Q11"/>
    <mergeCell ref="R9:R11"/>
    <mergeCell ref="S9:S11"/>
    <mergeCell ref="T9:T11"/>
    <mergeCell ref="U9:U11"/>
    <mergeCell ref="L9:L10"/>
    <mergeCell ref="M9:M11"/>
    <mergeCell ref="N9:N11"/>
    <mergeCell ref="O9:O11"/>
    <mergeCell ref="P9:P11"/>
    <mergeCell ref="Z8:AC8"/>
    <mergeCell ref="A35:B35"/>
    <mergeCell ref="A36:B36"/>
    <mergeCell ref="AC38:AE38"/>
    <mergeCell ref="E44:G44"/>
    <mergeCell ref="A8:A11"/>
    <mergeCell ref="B8:B11"/>
    <mergeCell ref="C10:C11"/>
    <mergeCell ref="D10:D11"/>
    <mergeCell ref="E9:E11"/>
    <mergeCell ref="F9:F11"/>
    <mergeCell ref="G9:G11"/>
    <mergeCell ref="H9:H11"/>
    <mergeCell ref="I9:I11"/>
    <mergeCell ref="J9:J11"/>
    <mergeCell ref="K9:K11"/>
    <mergeCell ref="A4:K4"/>
    <mergeCell ref="A5:K5"/>
    <mergeCell ref="A6:K6"/>
    <mergeCell ref="E8:K8"/>
    <mergeCell ref="L8:X8"/>
  </mergeCells>
  <pageMargins left="1" right="0.196527777777778" top="0.78680555555555598" bottom="0" header="0.31458333333333299" footer="0.31458333333333299"/>
  <pageSetup paperSize="9" scale="50" orientation="portrait" r:id="rId1"/>
  <rowBreaks count="1" manualBreakCount="1">
    <brk id="48" max="42" man="1"/>
  </rowBreaks>
  <colBreaks count="1" manualBreakCount="1">
    <brk id="2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CD678-BE63-48E9-BD09-519BD23A82F2}">
  <dimension ref="A1:O37"/>
  <sheetViews>
    <sheetView topLeftCell="E1" workbookViewId="0">
      <selection activeCell="M2" sqref="M2:M37"/>
    </sheetView>
  </sheetViews>
  <sheetFormatPr defaultColWidth="9.1328125" defaultRowHeight="14.25"/>
  <cols>
    <col min="1" max="1" width="3.73046875" style="371" bestFit="1" customWidth="1"/>
    <col min="2" max="2" width="23.1328125" style="371" bestFit="1" customWidth="1"/>
    <col min="3" max="3" width="12.1328125" style="371" bestFit="1" customWidth="1"/>
    <col min="4" max="4" width="10.33203125" style="371" bestFit="1" customWidth="1"/>
    <col min="5" max="5" width="3.73046875" style="371" bestFit="1" customWidth="1"/>
    <col min="6" max="6" width="26.06640625" style="371" bestFit="1" customWidth="1"/>
    <col min="7" max="7" width="13" style="371" bestFit="1" customWidth="1"/>
    <col min="8" max="8" width="11.265625" style="371" bestFit="1" customWidth="1"/>
    <col min="9" max="9" width="16.1328125" style="371" bestFit="1" customWidth="1"/>
    <col min="10" max="16384" width="9.1328125" style="371"/>
  </cols>
  <sheetData>
    <row r="1" spans="1:15" ht="41.65">
      <c r="A1" s="370" t="s">
        <v>134</v>
      </c>
      <c r="B1" s="370" t="s">
        <v>269</v>
      </c>
      <c r="C1" s="370" t="s">
        <v>270</v>
      </c>
      <c r="D1" s="370" t="s">
        <v>271</v>
      </c>
      <c r="E1" s="559" t="s">
        <v>134</v>
      </c>
      <c r="F1" s="559" t="s">
        <v>325</v>
      </c>
      <c r="G1" s="559" t="s">
        <v>315</v>
      </c>
      <c r="H1" s="559" t="s">
        <v>326</v>
      </c>
      <c r="I1" s="559" t="s">
        <v>327</v>
      </c>
      <c r="J1" s="559" t="s">
        <v>328</v>
      </c>
      <c r="K1" s="559" t="s">
        <v>329</v>
      </c>
      <c r="L1" s="559" t="s">
        <v>330</v>
      </c>
      <c r="M1" s="559" t="s">
        <v>331</v>
      </c>
      <c r="N1" s="559" t="s">
        <v>332</v>
      </c>
      <c r="O1" s="559" t="s">
        <v>333</v>
      </c>
    </row>
    <row r="2" spans="1:15" ht="27">
      <c r="A2" s="372">
        <v>1</v>
      </c>
      <c r="B2" s="373" t="s">
        <v>280</v>
      </c>
      <c r="C2" s="372">
        <v>1</v>
      </c>
      <c r="D2" s="370" t="s">
        <v>281</v>
      </c>
      <c r="E2" s="560">
        <v>1</v>
      </c>
      <c r="F2" s="560" t="s">
        <v>334</v>
      </c>
      <c r="G2" s="561" t="s">
        <v>335</v>
      </c>
      <c r="H2" s="560">
        <v>12</v>
      </c>
      <c r="I2" s="560">
        <v>60</v>
      </c>
      <c r="J2" s="560">
        <v>50</v>
      </c>
      <c r="K2" s="560">
        <v>50</v>
      </c>
      <c r="L2" s="560">
        <v>15</v>
      </c>
      <c r="M2" s="562">
        <f t="shared" ref="M2:M37" si="0">H2*L2</f>
        <v>180</v>
      </c>
      <c r="N2" s="563">
        <f t="shared" ref="N2:N37" si="1">I2*J2*K2/1000000</f>
        <v>0.15</v>
      </c>
      <c r="O2" s="563">
        <f t="shared" ref="O2:O37" si="2">H2*N2</f>
        <v>1.7999999999999998</v>
      </c>
    </row>
    <row r="3" spans="1:15" ht="27">
      <c r="A3" s="372">
        <v>2</v>
      </c>
      <c r="B3" s="373" t="s">
        <v>282</v>
      </c>
      <c r="C3" s="372">
        <v>4</v>
      </c>
      <c r="D3" s="370" t="s">
        <v>281</v>
      </c>
      <c r="E3" s="560">
        <v>2</v>
      </c>
      <c r="F3" s="560" t="s">
        <v>334</v>
      </c>
      <c r="G3" s="561" t="s">
        <v>336</v>
      </c>
      <c r="H3" s="560">
        <v>10</v>
      </c>
      <c r="I3" s="560">
        <v>50</v>
      </c>
      <c r="J3" s="560">
        <v>40</v>
      </c>
      <c r="K3" s="560">
        <v>40</v>
      </c>
      <c r="L3" s="560">
        <v>22</v>
      </c>
      <c r="M3" s="562">
        <f t="shared" si="0"/>
        <v>220</v>
      </c>
      <c r="N3" s="563">
        <f t="shared" si="1"/>
        <v>0.08</v>
      </c>
      <c r="O3" s="563">
        <f t="shared" si="2"/>
        <v>0.8</v>
      </c>
    </row>
    <row r="4" spans="1:15" ht="40.5">
      <c r="A4" s="372">
        <v>3</v>
      </c>
      <c r="B4" s="373" t="s">
        <v>283</v>
      </c>
      <c r="C4" s="372">
        <v>2</v>
      </c>
      <c r="D4" s="370" t="s">
        <v>281</v>
      </c>
      <c r="E4" s="560">
        <v>3</v>
      </c>
      <c r="F4" s="560" t="s">
        <v>334</v>
      </c>
      <c r="G4" s="561" t="s">
        <v>337</v>
      </c>
      <c r="H4" s="560">
        <v>10</v>
      </c>
      <c r="I4" s="560">
        <v>60</v>
      </c>
      <c r="J4" s="560">
        <v>50</v>
      </c>
      <c r="K4" s="560">
        <v>45</v>
      </c>
      <c r="L4" s="560">
        <v>18</v>
      </c>
      <c r="M4" s="562">
        <f t="shared" si="0"/>
        <v>180</v>
      </c>
      <c r="N4" s="563">
        <f t="shared" si="1"/>
        <v>0.13500000000000001</v>
      </c>
      <c r="O4" s="563">
        <f t="shared" si="2"/>
        <v>1.35</v>
      </c>
    </row>
    <row r="5" spans="1:15" ht="27">
      <c r="A5" s="372">
        <v>4</v>
      </c>
      <c r="B5" s="373" t="s">
        <v>284</v>
      </c>
      <c r="C5" s="372">
        <v>1</v>
      </c>
      <c r="D5" s="370" t="s">
        <v>281</v>
      </c>
      <c r="E5" s="560">
        <v>4</v>
      </c>
      <c r="F5" s="560" t="s">
        <v>334</v>
      </c>
      <c r="G5" s="561" t="s">
        <v>338</v>
      </c>
      <c r="H5" s="560">
        <v>2</v>
      </c>
      <c r="I5" s="560">
        <v>200</v>
      </c>
      <c r="J5" s="560">
        <v>60</v>
      </c>
      <c r="K5" s="560">
        <v>20</v>
      </c>
      <c r="L5" s="560">
        <v>40</v>
      </c>
      <c r="M5" s="562">
        <f t="shared" si="0"/>
        <v>80</v>
      </c>
      <c r="N5" s="563">
        <f t="shared" si="1"/>
        <v>0.24</v>
      </c>
      <c r="O5" s="563">
        <f t="shared" si="2"/>
        <v>0.48</v>
      </c>
    </row>
    <row r="6" spans="1:15">
      <c r="A6" s="372">
        <v>5</v>
      </c>
      <c r="B6" s="373" t="s">
        <v>285</v>
      </c>
      <c r="C6" s="372">
        <v>1</v>
      </c>
      <c r="D6" s="370" t="s">
        <v>281</v>
      </c>
      <c r="E6" s="560">
        <v>5</v>
      </c>
      <c r="F6" s="560" t="s">
        <v>334</v>
      </c>
      <c r="G6" s="561" t="s">
        <v>339</v>
      </c>
      <c r="H6" s="560">
        <v>1</v>
      </c>
      <c r="I6" s="560">
        <v>200</v>
      </c>
      <c r="J6" s="560">
        <v>160</v>
      </c>
      <c r="K6" s="560">
        <v>30</v>
      </c>
      <c r="L6" s="560">
        <v>45</v>
      </c>
      <c r="M6" s="562">
        <f t="shared" si="0"/>
        <v>45</v>
      </c>
      <c r="N6" s="563">
        <f t="shared" si="1"/>
        <v>0.96</v>
      </c>
      <c r="O6" s="563">
        <f t="shared" si="2"/>
        <v>0.96</v>
      </c>
    </row>
    <row r="7" spans="1:15" ht="27">
      <c r="A7" s="372">
        <v>6</v>
      </c>
      <c r="B7" s="373" t="s">
        <v>286</v>
      </c>
      <c r="C7" s="372">
        <v>1</v>
      </c>
      <c r="D7" s="370" t="s">
        <v>281</v>
      </c>
      <c r="E7" s="560">
        <v>6</v>
      </c>
      <c r="F7" s="560" t="s">
        <v>334</v>
      </c>
      <c r="G7" s="561" t="s">
        <v>340</v>
      </c>
      <c r="H7" s="560">
        <v>1</v>
      </c>
      <c r="I7" s="560">
        <v>200</v>
      </c>
      <c r="J7" s="560">
        <v>160</v>
      </c>
      <c r="K7" s="560">
        <v>25</v>
      </c>
      <c r="L7" s="560">
        <v>55</v>
      </c>
      <c r="M7" s="562">
        <f t="shared" si="0"/>
        <v>55</v>
      </c>
      <c r="N7" s="563">
        <f t="shared" si="1"/>
        <v>0.8</v>
      </c>
      <c r="O7" s="563">
        <f t="shared" si="2"/>
        <v>0.8</v>
      </c>
    </row>
    <row r="8" spans="1:15">
      <c r="A8" s="372">
        <v>7</v>
      </c>
      <c r="B8" s="373" t="s">
        <v>277</v>
      </c>
      <c r="C8" s="372">
        <v>1</v>
      </c>
      <c r="D8" s="370" t="s">
        <v>281</v>
      </c>
      <c r="E8" s="560">
        <v>7</v>
      </c>
      <c r="F8" s="560" t="s">
        <v>334</v>
      </c>
      <c r="G8" s="561" t="s">
        <v>341</v>
      </c>
      <c r="H8" s="560">
        <v>1</v>
      </c>
      <c r="I8" s="560">
        <v>200</v>
      </c>
      <c r="J8" s="560">
        <v>85</v>
      </c>
      <c r="K8" s="560">
        <v>80</v>
      </c>
      <c r="L8" s="560">
        <v>75</v>
      </c>
      <c r="M8" s="562">
        <f t="shared" si="0"/>
        <v>75</v>
      </c>
      <c r="N8" s="563">
        <f t="shared" si="1"/>
        <v>1.36</v>
      </c>
      <c r="O8" s="563">
        <f t="shared" si="2"/>
        <v>1.36</v>
      </c>
    </row>
    <row r="9" spans="1:15">
      <c r="A9" s="372">
        <v>8</v>
      </c>
      <c r="B9" s="373" t="s">
        <v>287</v>
      </c>
      <c r="C9" s="372">
        <v>2</v>
      </c>
      <c r="D9" s="370" t="s">
        <v>281</v>
      </c>
      <c r="E9" s="560">
        <v>8</v>
      </c>
      <c r="F9" s="560" t="s">
        <v>334</v>
      </c>
      <c r="G9" s="561" t="s">
        <v>342</v>
      </c>
      <c r="H9" s="560">
        <v>2</v>
      </c>
      <c r="I9" s="560">
        <v>90</v>
      </c>
      <c r="J9" s="560">
        <v>85</v>
      </c>
      <c r="K9" s="560">
        <v>80</v>
      </c>
      <c r="L9" s="560">
        <v>35</v>
      </c>
      <c r="M9" s="562">
        <f t="shared" si="0"/>
        <v>70</v>
      </c>
      <c r="N9" s="563">
        <f t="shared" si="1"/>
        <v>0.61199999999999999</v>
      </c>
      <c r="O9" s="563">
        <f t="shared" si="2"/>
        <v>1.224</v>
      </c>
    </row>
    <row r="10" spans="1:15">
      <c r="A10" s="372">
        <v>9</v>
      </c>
      <c r="B10" s="373" t="s">
        <v>288</v>
      </c>
      <c r="C10" s="372">
        <v>2</v>
      </c>
      <c r="D10" s="370" t="s">
        <v>281</v>
      </c>
      <c r="E10" s="560">
        <v>9</v>
      </c>
      <c r="F10" s="560" t="s">
        <v>334</v>
      </c>
      <c r="G10" s="561" t="s">
        <v>343</v>
      </c>
      <c r="H10" s="560">
        <v>1</v>
      </c>
      <c r="I10" s="560">
        <v>160</v>
      </c>
      <c r="J10" s="560">
        <v>90</v>
      </c>
      <c r="K10" s="560">
        <v>20</v>
      </c>
      <c r="L10" s="560">
        <v>45</v>
      </c>
      <c r="M10" s="562">
        <f t="shared" si="0"/>
        <v>45</v>
      </c>
      <c r="N10" s="563">
        <f t="shared" si="1"/>
        <v>0.28799999999999998</v>
      </c>
      <c r="O10" s="563">
        <f t="shared" si="2"/>
        <v>0.28799999999999998</v>
      </c>
    </row>
    <row r="11" spans="1:15">
      <c r="A11" s="372">
        <v>10</v>
      </c>
      <c r="B11" s="373" t="s">
        <v>289</v>
      </c>
      <c r="C11" s="372">
        <v>1</v>
      </c>
      <c r="D11" s="370" t="s">
        <v>281</v>
      </c>
      <c r="E11" s="560">
        <v>10</v>
      </c>
      <c r="F11" s="560" t="s">
        <v>334</v>
      </c>
      <c r="G11" s="561" t="s">
        <v>344</v>
      </c>
      <c r="H11" s="560">
        <v>2</v>
      </c>
      <c r="I11" s="560">
        <v>60</v>
      </c>
      <c r="J11" s="560">
        <v>60</v>
      </c>
      <c r="K11" s="560">
        <v>100</v>
      </c>
      <c r="L11" s="560">
        <v>30</v>
      </c>
      <c r="M11" s="562">
        <f t="shared" si="0"/>
        <v>60</v>
      </c>
      <c r="N11" s="563">
        <f t="shared" si="1"/>
        <v>0.36</v>
      </c>
      <c r="O11" s="563">
        <f t="shared" si="2"/>
        <v>0.72</v>
      </c>
    </row>
    <row r="12" spans="1:15">
      <c r="A12" s="372">
        <v>11</v>
      </c>
      <c r="B12" s="373" t="s">
        <v>274</v>
      </c>
      <c r="C12" s="372">
        <v>1</v>
      </c>
      <c r="D12" s="370" t="s">
        <v>281</v>
      </c>
      <c r="E12" s="560">
        <v>11</v>
      </c>
      <c r="F12" s="560" t="s">
        <v>334</v>
      </c>
      <c r="G12" s="561" t="s">
        <v>345</v>
      </c>
      <c r="H12" s="560">
        <v>1</v>
      </c>
      <c r="I12" s="560">
        <v>70</v>
      </c>
      <c r="J12" s="560">
        <v>70</v>
      </c>
      <c r="K12" s="560">
        <v>180</v>
      </c>
      <c r="L12" s="560">
        <v>75</v>
      </c>
      <c r="M12" s="562">
        <f t="shared" si="0"/>
        <v>75</v>
      </c>
      <c r="N12" s="563">
        <f t="shared" si="1"/>
        <v>0.88200000000000001</v>
      </c>
      <c r="O12" s="563">
        <f t="shared" si="2"/>
        <v>0.88200000000000001</v>
      </c>
    </row>
    <row r="13" spans="1:15">
      <c r="A13" s="372">
        <v>12</v>
      </c>
      <c r="B13" s="373" t="s">
        <v>276</v>
      </c>
      <c r="C13" s="372">
        <v>1</v>
      </c>
      <c r="D13" s="370" t="s">
        <v>281</v>
      </c>
      <c r="E13" s="560">
        <v>12</v>
      </c>
      <c r="F13" s="560" t="s">
        <v>334</v>
      </c>
      <c r="G13" s="561" t="s">
        <v>346</v>
      </c>
      <c r="H13" s="560">
        <v>1</v>
      </c>
      <c r="I13" s="560">
        <v>65</v>
      </c>
      <c r="J13" s="560">
        <v>65</v>
      </c>
      <c r="K13" s="560">
        <v>95</v>
      </c>
      <c r="L13" s="560">
        <v>55</v>
      </c>
      <c r="M13" s="562">
        <f t="shared" si="0"/>
        <v>55</v>
      </c>
      <c r="N13" s="563">
        <f t="shared" si="1"/>
        <v>0.40137499999999998</v>
      </c>
      <c r="O13" s="563">
        <f t="shared" si="2"/>
        <v>0.40137499999999998</v>
      </c>
    </row>
    <row r="14" spans="1:15">
      <c r="A14" s="372">
        <v>13</v>
      </c>
      <c r="B14" s="373" t="s">
        <v>290</v>
      </c>
      <c r="C14" s="372">
        <v>1</v>
      </c>
      <c r="D14" s="370" t="s">
        <v>281</v>
      </c>
      <c r="E14" s="560">
        <v>13</v>
      </c>
      <c r="F14" s="560" t="s">
        <v>334</v>
      </c>
      <c r="G14" s="561" t="s">
        <v>347</v>
      </c>
      <c r="H14" s="560">
        <v>1</v>
      </c>
      <c r="I14" s="560">
        <v>140</v>
      </c>
      <c r="J14" s="560">
        <v>25</v>
      </c>
      <c r="K14" s="560">
        <v>85</v>
      </c>
      <c r="L14" s="560">
        <v>25</v>
      </c>
      <c r="M14" s="562">
        <f t="shared" si="0"/>
        <v>25</v>
      </c>
      <c r="N14" s="563">
        <f t="shared" si="1"/>
        <v>0.29749999999999999</v>
      </c>
      <c r="O14" s="563">
        <f t="shared" si="2"/>
        <v>0.29749999999999999</v>
      </c>
    </row>
    <row r="15" spans="1:15">
      <c r="A15" s="372">
        <v>14</v>
      </c>
      <c r="B15" s="373" t="s">
        <v>291</v>
      </c>
      <c r="C15" s="372">
        <v>1</v>
      </c>
      <c r="D15" s="370" t="s">
        <v>281</v>
      </c>
      <c r="E15" s="560">
        <v>14</v>
      </c>
      <c r="F15" s="560" t="s">
        <v>334</v>
      </c>
      <c r="G15" s="561" t="s">
        <v>348</v>
      </c>
      <c r="H15" s="560">
        <v>1</v>
      </c>
      <c r="I15" s="560">
        <v>160</v>
      </c>
      <c r="J15" s="560">
        <v>50</v>
      </c>
      <c r="K15" s="560">
        <v>25</v>
      </c>
      <c r="L15" s="560">
        <v>35</v>
      </c>
      <c r="M15" s="562">
        <f t="shared" si="0"/>
        <v>35</v>
      </c>
      <c r="N15" s="563">
        <f t="shared" si="1"/>
        <v>0.2</v>
      </c>
      <c r="O15" s="563">
        <f t="shared" si="2"/>
        <v>0.2</v>
      </c>
    </row>
    <row r="16" spans="1:15" ht="40.5">
      <c r="A16" s="372">
        <v>15</v>
      </c>
      <c r="B16" s="373" t="s">
        <v>292</v>
      </c>
      <c r="C16" s="372">
        <v>9</v>
      </c>
      <c r="D16" s="370" t="s">
        <v>281</v>
      </c>
      <c r="E16" s="560">
        <v>15</v>
      </c>
      <c r="F16" s="560" t="s">
        <v>334</v>
      </c>
      <c r="G16" s="561" t="s">
        <v>349</v>
      </c>
      <c r="H16" s="560">
        <v>4</v>
      </c>
      <c r="I16" s="560">
        <v>70</v>
      </c>
      <c r="J16" s="560">
        <v>50</v>
      </c>
      <c r="K16" s="560">
        <v>50</v>
      </c>
      <c r="L16" s="560">
        <v>20</v>
      </c>
      <c r="M16" s="562">
        <f t="shared" si="0"/>
        <v>80</v>
      </c>
      <c r="N16" s="563">
        <f t="shared" si="1"/>
        <v>0.17499999999999999</v>
      </c>
      <c r="O16" s="563">
        <f t="shared" si="2"/>
        <v>0.7</v>
      </c>
    </row>
    <row r="17" spans="1:15">
      <c r="A17" s="372">
        <v>16</v>
      </c>
      <c r="B17" s="373" t="s">
        <v>293</v>
      </c>
      <c r="C17" s="372">
        <v>4</v>
      </c>
      <c r="D17" s="370" t="s">
        <v>281</v>
      </c>
      <c r="E17" s="560">
        <v>16</v>
      </c>
      <c r="F17" s="560" t="s">
        <v>334</v>
      </c>
      <c r="G17" s="561" t="s">
        <v>350</v>
      </c>
      <c r="H17" s="560">
        <v>2</v>
      </c>
      <c r="I17" s="560">
        <v>200</v>
      </c>
      <c r="J17" s="560">
        <v>100</v>
      </c>
      <c r="K17" s="560">
        <v>25</v>
      </c>
      <c r="L17" s="560">
        <v>20</v>
      </c>
      <c r="M17" s="562">
        <f t="shared" si="0"/>
        <v>40</v>
      </c>
      <c r="N17" s="563">
        <f t="shared" si="1"/>
        <v>0.5</v>
      </c>
      <c r="O17" s="563">
        <f t="shared" si="2"/>
        <v>1</v>
      </c>
    </row>
    <row r="18" spans="1:15">
      <c r="A18" s="372">
        <v>17</v>
      </c>
      <c r="B18" s="373" t="s">
        <v>294</v>
      </c>
      <c r="C18" s="372">
        <v>1</v>
      </c>
      <c r="D18" s="370" t="s">
        <v>281</v>
      </c>
      <c r="E18" s="560">
        <v>17</v>
      </c>
      <c r="F18" s="560" t="s">
        <v>334</v>
      </c>
      <c r="G18" s="561" t="s">
        <v>351</v>
      </c>
      <c r="H18" s="560">
        <v>2</v>
      </c>
      <c r="I18" s="560">
        <v>70</v>
      </c>
      <c r="J18" s="560">
        <v>70</v>
      </c>
      <c r="K18" s="560">
        <v>110</v>
      </c>
      <c r="L18" s="560">
        <v>15</v>
      </c>
      <c r="M18" s="562">
        <f t="shared" si="0"/>
        <v>30</v>
      </c>
      <c r="N18" s="563">
        <f t="shared" si="1"/>
        <v>0.53900000000000003</v>
      </c>
      <c r="O18" s="563">
        <f t="shared" si="2"/>
        <v>1.0780000000000001</v>
      </c>
    </row>
    <row r="19" spans="1:15">
      <c r="A19" s="372">
        <v>18</v>
      </c>
      <c r="B19" s="373" t="s">
        <v>295</v>
      </c>
      <c r="C19" s="372">
        <v>1</v>
      </c>
      <c r="D19" s="370" t="s">
        <v>281</v>
      </c>
      <c r="E19" s="560">
        <v>18</v>
      </c>
      <c r="F19" s="560" t="s">
        <v>334</v>
      </c>
      <c r="G19" s="561" t="s">
        <v>352</v>
      </c>
      <c r="H19" s="560">
        <v>4</v>
      </c>
      <c r="I19" s="560">
        <v>80</v>
      </c>
      <c r="J19" s="560">
        <v>50</v>
      </c>
      <c r="K19" s="560">
        <v>30</v>
      </c>
      <c r="L19" s="560">
        <v>15</v>
      </c>
      <c r="M19" s="562">
        <f t="shared" si="0"/>
        <v>60</v>
      </c>
      <c r="N19" s="563">
        <f t="shared" si="1"/>
        <v>0.12</v>
      </c>
      <c r="O19" s="563">
        <f t="shared" si="2"/>
        <v>0.48</v>
      </c>
    </row>
    <row r="20" spans="1:15">
      <c r="A20" s="372">
        <v>19</v>
      </c>
      <c r="B20" s="370" t="s">
        <v>296</v>
      </c>
      <c r="C20" s="374">
        <v>1</v>
      </c>
      <c r="D20" s="370" t="s">
        <v>281</v>
      </c>
      <c r="E20" s="560">
        <v>19</v>
      </c>
      <c r="F20" s="560" t="s">
        <v>334</v>
      </c>
      <c r="G20" s="561" t="s">
        <v>353</v>
      </c>
      <c r="H20" s="560">
        <v>3</v>
      </c>
      <c r="I20" s="560">
        <v>200</v>
      </c>
      <c r="J20" s="560">
        <v>30</v>
      </c>
      <c r="K20" s="560">
        <v>30</v>
      </c>
      <c r="L20" s="560">
        <v>8</v>
      </c>
      <c r="M20" s="562">
        <f t="shared" si="0"/>
        <v>24</v>
      </c>
      <c r="N20" s="563">
        <f t="shared" si="1"/>
        <v>0.18</v>
      </c>
      <c r="O20" s="563">
        <f t="shared" si="2"/>
        <v>0.54</v>
      </c>
    </row>
    <row r="21" spans="1:15" ht="27">
      <c r="A21" s="372">
        <v>20</v>
      </c>
      <c r="B21" s="370" t="s">
        <v>297</v>
      </c>
      <c r="C21" s="374">
        <v>5</v>
      </c>
      <c r="D21" s="370" t="s">
        <v>281</v>
      </c>
      <c r="E21" s="564">
        <v>20</v>
      </c>
      <c r="F21" s="564" t="s">
        <v>354</v>
      </c>
      <c r="G21" s="565" t="s">
        <v>335</v>
      </c>
      <c r="H21" s="564">
        <v>10</v>
      </c>
      <c r="I21" s="564">
        <v>60</v>
      </c>
      <c r="J21" s="564">
        <v>50</v>
      </c>
      <c r="K21" s="564">
        <v>50</v>
      </c>
      <c r="L21" s="564">
        <v>15</v>
      </c>
      <c r="M21" s="566">
        <f t="shared" si="0"/>
        <v>150</v>
      </c>
      <c r="N21" s="567">
        <f t="shared" si="1"/>
        <v>0.15</v>
      </c>
      <c r="O21" s="567">
        <f t="shared" si="2"/>
        <v>1.5</v>
      </c>
    </row>
    <row r="22" spans="1:15" ht="40.5">
      <c r="A22" s="372">
        <v>21</v>
      </c>
      <c r="B22" s="370" t="s">
        <v>298</v>
      </c>
      <c r="C22" s="374">
        <v>2</v>
      </c>
      <c r="D22" s="370" t="s">
        <v>281</v>
      </c>
      <c r="E22" s="564">
        <v>21</v>
      </c>
      <c r="F22" s="564" t="s">
        <v>354</v>
      </c>
      <c r="G22" s="565" t="s">
        <v>355</v>
      </c>
      <c r="H22" s="564">
        <v>10</v>
      </c>
      <c r="I22" s="564">
        <v>60</v>
      </c>
      <c r="J22" s="564">
        <v>50</v>
      </c>
      <c r="K22" s="564">
        <v>45</v>
      </c>
      <c r="L22" s="564">
        <v>18</v>
      </c>
      <c r="M22" s="566">
        <f t="shared" si="0"/>
        <v>180</v>
      </c>
      <c r="N22" s="567">
        <f t="shared" si="1"/>
        <v>0.13500000000000001</v>
      </c>
      <c r="O22" s="567">
        <f t="shared" si="2"/>
        <v>1.35</v>
      </c>
    </row>
    <row r="23" spans="1:15" ht="27">
      <c r="A23" s="372">
        <v>22</v>
      </c>
      <c r="B23" s="370" t="s">
        <v>273</v>
      </c>
      <c r="C23" s="374">
        <v>2</v>
      </c>
      <c r="D23" s="370" t="s">
        <v>281</v>
      </c>
      <c r="E23" s="564">
        <v>22</v>
      </c>
      <c r="F23" s="564" t="s">
        <v>354</v>
      </c>
      <c r="G23" s="565" t="s">
        <v>356</v>
      </c>
      <c r="H23" s="564">
        <v>12</v>
      </c>
      <c r="I23" s="564">
        <v>60</v>
      </c>
      <c r="J23" s="564">
        <v>45</v>
      </c>
      <c r="K23" s="564">
        <v>45</v>
      </c>
      <c r="L23" s="564">
        <v>18</v>
      </c>
      <c r="M23" s="566">
        <f t="shared" si="0"/>
        <v>216</v>
      </c>
      <c r="N23" s="567">
        <f t="shared" si="1"/>
        <v>0.1215</v>
      </c>
      <c r="O23" s="567">
        <f t="shared" si="2"/>
        <v>1.458</v>
      </c>
    </row>
    <row r="24" spans="1:15" ht="27">
      <c r="A24" s="372">
        <v>23</v>
      </c>
      <c r="B24" s="370" t="s">
        <v>299</v>
      </c>
      <c r="C24" s="374">
        <v>2</v>
      </c>
      <c r="D24" s="370" t="s">
        <v>281</v>
      </c>
      <c r="E24" s="564">
        <v>23</v>
      </c>
      <c r="F24" s="564" t="s">
        <v>354</v>
      </c>
      <c r="G24" s="565" t="s">
        <v>357</v>
      </c>
      <c r="H24" s="564">
        <v>1</v>
      </c>
      <c r="I24" s="564">
        <v>120</v>
      </c>
      <c r="J24" s="564">
        <v>50</v>
      </c>
      <c r="K24" s="564">
        <v>180</v>
      </c>
      <c r="L24" s="564">
        <v>55</v>
      </c>
      <c r="M24" s="566">
        <f t="shared" si="0"/>
        <v>55</v>
      </c>
      <c r="N24" s="567">
        <f t="shared" si="1"/>
        <v>1.08</v>
      </c>
      <c r="O24" s="567">
        <f t="shared" si="2"/>
        <v>1.08</v>
      </c>
    </row>
    <row r="25" spans="1:15">
      <c r="A25" s="372">
        <v>24</v>
      </c>
      <c r="B25" s="370" t="s">
        <v>300</v>
      </c>
      <c r="C25" s="374">
        <v>2</v>
      </c>
      <c r="D25" s="370" t="s">
        <v>281</v>
      </c>
      <c r="E25" s="564">
        <v>24</v>
      </c>
      <c r="F25" s="564" t="s">
        <v>354</v>
      </c>
      <c r="G25" s="565" t="s">
        <v>358</v>
      </c>
      <c r="H25" s="564">
        <v>1</v>
      </c>
      <c r="I25" s="564">
        <v>200</v>
      </c>
      <c r="J25" s="564">
        <v>180</v>
      </c>
      <c r="K25" s="564">
        <v>30</v>
      </c>
      <c r="L25" s="564">
        <v>50</v>
      </c>
      <c r="M25" s="566">
        <f t="shared" si="0"/>
        <v>50</v>
      </c>
      <c r="N25" s="567">
        <f t="shared" si="1"/>
        <v>1.08</v>
      </c>
      <c r="O25" s="567">
        <f t="shared" si="2"/>
        <v>1.08</v>
      </c>
    </row>
    <row r="26" spans="1:15">
      <c r="A26" s="372">
        <v>25</v>
      </c>
      <c r="B26" s="370" t="s">
        <v>301</v>
      </c>
      <c r="C26" s="374">
        <v>1</v>
      </c>
      <c r="D26" s="370" t="s">
        <v>281</v>
      </c>
      <c r="E26" s="564">
        <v>25</v>
      </c>
      <c r="F26" s="564" t="s">
        <v>354</v>
      </c>
      <c r="G26" s="565" t="s">
        <v>359</v>
      </c>
      <c r="H26" s="564">
        <v>1</v>
      </c>
      <c r="I26" s="564">
        <v>200</v>
      </c>
      <c r="J26" s="564">
        <v>180</v>
      </c>
      <c r="K26" s="564">
        <v>25</v>
      </c>
      <c r="L26" s="564">
        <v>60</v>
      </c>
      <c r="M26" s="566">
        <f t="shared" si="0"/>
        <v>60</v>
      </c>
      <c r="N26" s="567">
        <f t="shared" si="1"/>
        <v>0.9</v>
      </c>
      <c r="O26" s="567">
        <f t="shared" si="2"/>
        <v>0.9</v>
      </c>
    </row>
    <row r="27" spans="1:15">
      <c r="A27" s="372">
        <v>26</v>
      </c>
      <c r="B27" s="370" t="s">
        <v>302</v>
      </c>
      <c r="C27" s="374">
        <v>12</v>
      </c>
      <c r="D27" s="370" t="s">
        <v>281</v>
      </c>
      <c r="E27" s="564">
        <v>26</v>
      </c>
      <c r="F27" s="564" t="s">
        <v>354</v>
      </c>
      <c r="G27" s="565" t="s">
        <v>360</v>
      </c>
      <c r="H27" s="564">
        <v>1</v>
      </c>
      <c r="I27" s="564">
        <v>140</v>
      </c>
      <c r="J27" s="564">
        <v>70</v>
      </c>
      <c r="K27" s="564">
        <v>75</v>
      </c>
      <c r="L27" s="564">
        <v>35</v>
      </c>
      <c r="M27" s="566">
        <f t="shared" si="0"/>
        <v>35</v>
      </c>
      <c r="N27" s="567">
        <f t="shared" si="1"/>
        <v>0.73499999999999999</v>
      </c>
      <c r="O27" s="567">
        <f t="shared" si="2"/>
        <v>0.73499999999999999</v>
      </c>
    </row>
    <row r="28" spans="1:15">
      <c r="A28" s="372">
        <v>27</v>
      </c>
      <c r="B28" s="370" t="s">
        <v>303</v>
      </c>
      <c r="C28" s="374">
        <v>6</v>
      </c>
      <c r="D28" s="370" t="s">
        <v>281</v>
      </c>
      <c r="E28" s="564">
        <v>27</v>
      </c>
      <c r="F28" s="564" t="s">
        <v>354</v>
      </c>
      <c r="G28" s="565" t="s">
        <v>361</v>
      </c>
      <c r="H28" s="564">
        <v>1</v>
      </c>
      <c r="I28" s="564">
        <v>100</v>
      </c>
      <c r="J28" s="564">
        <v>40</v>
      </c>
      <c r="K28" s="564">
        <v>180</v>
      </c>
      <c r="L28" s="564">
        <v>40</v>
      </c>
      <c r="M28" s="566">
        <f t="shared" si="0"/>
        <v>40</v>
      </c>
      <c r="N28" s="567">
        <f t="shared" si="1"/>
        <v>0.72</v>
      </c>
      <c r="O28" s="567">
        <f t="shared" si="2"/>
        <v>0.72</v>
      </c>
    </row>
    <row r="29" spans="1:15">
      <c r="A29" s="372">
        <v>28</v>
      </c>
      <c r="B29" s="370" t="s">
        <v>304</v>
      </c>
      <c r="C29" s="374">
        <v>4</v>
      </c>
      <c r="D29" s="370" t="s">
        <v>281</v>
      </c>
      <c r="E29" s="564">
        <v>28</v>
      </c>
      <c r="F29" s="564" t="s">
        <v>354</v>
      </c>
      <c r="G29" s="565" t="s">
        <v>362</v>
      </c>
      <c r="H29" s="564">
        <v>2</v>
      </c>
      <c r="I29" s="564">
        <v>150</v>
      </c>
      <c r="J29" s="564">
        <v>25</v>
      </c>
      <c r="K29" s="564">
        <v>80</v>
      </c>
      <c r="L29" s="564">
        <v>20</v>
      </c>
      <c r="M29" s="566">
        <f t="shared" si="0"/>
        <v>40</v>
      </c>
      <c r="N29" s="567">
        <f t="shared" si="1"/>
        <v>0.3</v>
      </c>
      <c r="O29" s="567">
        <f t="shared" si="2"/>
        <v>0.6</v>
      </c>
    </row>
    <row r="30" spans="1:15">
      <c r="A30" s="372">
        <v>29</v>
      </c>
      <c r="B30" s="370" t="s">
        <v>305</v>
      </c>
      <c r="C30" s="374">
        <v>7</v>
      </c>
      <c r="D30" s="370" t="s">
        <v>281</v>
      </c>
      <c r="E30" s="564">
        <v>29</v>
      </c>
      <c r="F30" s="564" t="s">
        <v>354</v>
      </c>
      <c r="G30" s="565" t="s">
        <v>363</v>
      </c>
      <c r="H30" s="564">
        <v>2</v>
      </c>
      <c r="I30" s="564">
        <v>100</v>
      </c>
      <c r="J30" s="564">
        <v>45</v>
      </c>
      <c r="K30" s="564">
        <v>75</v>
      </c>
      <c r="L30" s="564">
        <v>25</v>
      </c>
      <c r="M30" s="566">
        <f t="shared" si="0"/>
        <v>50</v>
      </c>
      <c r="N30" s="567">
        <f t="shared" si="1"/>
        <v>0.33750000000000002</v>
      </c>
      <c r="O30" s="567">
        <f t="shared" si="2"/>
        <v>0.67500000000000004</v>
      </c>
    </row>
    <row r="31" spans="1:15" ht="27">
      <c r="A31" s="372">
        <v>30</v>
      </c>
      <c r="B31" s="370" t="s">
        <v>272</v>
      </c>
      <c r="C31" s="374">
        <v>5</v>
      </c>
      <c r="D31" s="370" t="s">
        <v>281</v>
      </c>
      <c r="E31" s="564">
        <v>30</v>
      </c>
      <c r="F31" s="564" t="s">
        <v>354</v>
      </c>
      <c r="G31" s="565" t="s">
        <v>364</v>
      </c>
      <c r="H31" s="564">
        <v>1</v>
      </c>
      <c r="I31" s="564">
        <v>60</v>
      </c>
      <c r="J31" s="564">
        <v>50</v>
      </c>
      <c r="K31" s="564">
        <v>45</v>
      </c>
      <c r="L31" s="564">
        <v>18</v>
      </c>
      <c r="M31" s="566">
        <f t="shared" si="0"/>
        <v>18</v>
      </c>
      <c r="N31" s="567">
        <f t="shared" si="1"/>
        <v>0.13500000000000001</v>
      </c>
      <c r="O31" s="567">
        <f t="shared" si="2"/>
        <v>0.13500000000000001</v>
      </c>
    </row>
    <row r="32" spans="1:15">
      <c r="A32" s="372">
        <v>31</v>
      </c>
      <c r="B32" s="370" t="s">
        <v>306</v>
      </c>
      <c r="C32" s="374">
        <v>5</v>
      </c>
      <c r="D32" s="370" t="s">
        <v>281</v>
      </c>
      <c r="E32" s="564">
        <v>31</v>
      </c>
      <c r="F32" s="564" t="s">
        <v>354</v>
      </c>
      <c r="G32" s="565" t="s">
        <v>365</v>
      </c>
      <c r="H32" s="564">
        <v>3</v>
      </c>
      <c r="I32" s="564">
        <v>55</v>
      </c>
      <c r="J32" s="564">
        <v>35</v>
      </c>
      <c r="K32" s="564">
        <v>65</v>
      </c>
      <c r="L32" s="564">
        <v>10</v>
      </c>
      <c r="M32" s="566">
        <f t="shared" si="0"/>
        <v>30</v>
      </c>
      <c r="N32" s="567">
        <f t="shared" si="1"/>
        <v>0.12512499999999999</v>
      </c>
      <c r="O32" s="567">
        <f t="shared" si="2"/>
        <v>0.37537499999999996</v>
      </c>
    </row>
    <row r="33" spans="1:15" ht="40.5">
      <c r="A33" s="372">
        <v>32</v>
      </c>
      <c r="B33" s="370" t="s">
        <v>307</v>
      </c>
      <c r="C33" s="374">
        <v>1</v>
      </c>
      <c r="D33" s="370" t="s">
        <v>281</v>
      </c>
      <c r="E33" s="564">
        <v>32</v>
      </c>
      <c r="F33" s="564" t="s">
        <v>354</v>
      </c>
      <c r="G33" s="565" t="s">
        <v>366</v>
      </c>
      <c r="H33" s="564">
        <v>3</v>
      </c>
      <c r="I33" s="564">
        <v>70</v>
      </c>
      <c r="J33" s="564">
        <v>45</v>
      </c>
      <c r="K33" s="564">
        <v>100</v>
      </c>
      <c r="L33" s="564">
        <v>15</v>
      </c>
      <c r="M33" s="566">
        <f t="shared" si="0"/>
        <v>45</v>
      </c>
      <c r="N33" s="567">
        <f t="shared" si="1"/>
        <v>0.315</v>
      </c>
      <c r="O33" s="567">
        <f t="shared" si="2"/>
        <v>0.94500000000000006</v>
      </c>
    </row>
    <row r="34" spans="1:15">
      <c r="A34" s="372">
        <v>33</v>
      </c>
      <c r="B34" s="370" t="s">
        <v>308</v>
      </c>
      <c r="C34" s="374">
        <v>1</v>
      </c>
      <c r="D34" s="370" t="s">
        <v>281</v>
      </c>
      <c r="E34" s="564">
        <v>33</v>
      </c>
      <c r="F34" s="564" t="s">
        <v>354</v>
      </c>
      <c r="G34" s="565" t="s">
        <v>367</v>
      </c>
      <c r="H34" s="564">
        <v>5</v>
      </c>
      <c r="I34" s="564">
        <v>70</v>
      </c>
      <c r="J34" s="564">
        <v>45</v>
      </c>
      <c r="K34" s="564">
        <v>28</v>
      </c>
      <c r="L34" s="564">
        <v>12</v>
      </c>
      <c r="M34" s="566">
        <f t="shared" si="0"/>
        <v>60</v>
      </c>
      <c r="N34" s="567">
        <f t="shared" si="1"/>
        <v>8.8200000000000001E-2</v>
      </c>
      <c r="O34" s="567">
        <f t="shared" si="2"/>
        <v>0.441</v>
      </c>
    </row>
    <row r="35" spans="1:15" ht="27">
      <c r="A35" s="372">
        <v>34</v>
      </c>
      <c r="B35" s="370" t="s">
        <v>309</v>
      </c>
      <c r="C35" s="374">
        <v>1</v>
      </c>
      <c r="D35" s="370" t="s">
        <v>281</v>
      </c>
      <c r="E35" s="564">
        <v>34</v>
      </c>
      <c r="F35" s="564" t="s">
        <v>354</v>
      </c>
      <c r="G35" s="565" t="s">
        <v>368</v>
      </c>
      <c r="H35" s="564">
        <v>4</v>
      </c>
      <c r="I35" s="564">
        <v>60</v>
      </c>
      <c r="J35" s="564">
        <v>50</v>
      </c>
      <c r="K35" s="564">
        <v>55</v>
      </c>
      <c r="L35" s="564">
        <v>12</v>
      </c>
      <c r="M35" s="566">
        <f t="shared" si="0"/>
        <v>48</v>
      </c>
      <c r="N35" s="567">
        <f t="shared" si="1"/>
        <v>0.16500000000000001</v>
      </c>
      <c r="O35" s="567">
        <f t="shared" si="2"/>
        <v>0.66</v>
      </c>
    </row>
    <row r="36" spans="1:15">
      <c r="A36" s="372">
        <v>35</v>
      </c>
      <c r="B36" s="370" t="s">
        <v>275</v>
      </c>
      <c r="C36" s="374">
        <v>7</v>
      </c>
      <c r="D36" s="370" t="s">
        <v>281</v>
      </c>
      <c r="E36" s="564">
        <v>35</v>
      </c>
      <c r="F36" s="564" t="s">
        <v>354</v>
      </c>
      <c r="G36" s="565" t="s">
        <v>369</v>
      </c>
      <c r="H36" s="564">
        <v>2</v>
      </c>
      <c r="I36" s="564">
        <v>180</v>
      </c>
      <c r="J36" s="564">
        <v>15</v>
      </c>
      <c r="K36" s="564">
        <v>90</v>
      </c>
      <c r="L36" s="564">
        <v>18</v>
      </c>
      <c r="M36" s="566">
        <f t="shared" si="0"/>
        <v>36</v>
      </c>
      <c r="N36" s="567">
        <f t="shared" si="1"/>
        <v>0.24299999999999999</v>
      </c>
      <c r="O36" s="567">
        <f t="shared" si="2"/>
        <v>0.48599999999999999</v>
      </c>
    </row>
    <row r="37" spans="1:15" ht="40.5">
      <c r="A37" s="372">
        <v>36</v>
      </c>
      <c r="B37" s="370" t="s">
        <v>310</v>
      </c>
      <c r="C37" s="374">
        <v>20</v>
      </c>
      <c r="D37" s="370" t="s">
        <v>281</v>
      </c>
      <c r="E37" s="564">
        <v>36</v>
      </c>
      <c r="F37" s="564" t="s">
        <v>354</v>
      </c>
      <c r="G37" s="565" t="s">
        <v>370</v>
      </c>
      <c r="H37" s="564">
        <v>2</v>
      </c>
      <c r="I37" s="564">
        <v>120</v>
      </c>
      <c r="J37" s="564">
        <v>50</v>
      </c>
      <c r="K37" s="564">
        <v>160</v>
      </c>
      <c r="L37" s="564">
        <v>20</v>
      </c>
      <c r="M37" s="566">
        <f t="shared" si="0"/>
        <v>40</v>
      </c>
      <c r="N37" s="567">
        <f t="shared" si="1"/>
        <v>0.96</v>
      </c>
      <c r="O37" s="567">
        <f t="shared" si="2"/>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6FFFF"/>
  </sheetPr>
  <dimension ref="B1:H75"/>
  <sheetViews>
    <sheetView view="pageBreakPreview" topLeftCell="A3" zoomScale="104" zoomScaleNormal="100" zoomScaleSheetLayoutView="104" workbookViewId="0">
      <selection activeCell="G60" sqref="G60"/>
    </sheetView>
  </sheetViews>
  <sheetFormatPr defaultColWidth="9.1328125" defaultRowHeight="14.25"/>
  <cols>
    <col min="1" max="1" width="9.1328125" style="169"/>
    <col min="2" max="2" width="3.796875" style="169" customWidth="1"/>
    <col min="3" max="3" width="23.796875" style="169" customWidth="1"/>
    <col min="4" max="4" width="37.1328125" style="170" customWidth="1"/>
    <col min="5" max="5" width="15.796875" style="169" customWidth="1"/>
    <col min="6" max="6" width="19.796875" style="171" customWidth="1"/>
    <col min="7" max="7" width="26.46484375" style="169" customWidth="1"/>
    <col min="8" max="8" width="15" style="169" customWidth="1"/>
    <col min="9" max="16384" width="9.1328125" style="169"/>
  </cols>
  <sheetData>
    <row r="1" spans="2:6">
      <c r="B1" s="172" t="s">
        <v>0</v>
      </c>
      <c r="C1" s="168"/>
      <c r="D1" s="173"/>
      <c r="E1" s="168"/>
      <c r="F1" s="129"/>
    </row>
    <row r="2" spans="2:6">
      <c r="B2" s="174" t="s">
        <v>2</v>
      </c>
      <c r="C2" s="168"/>
      <c r="D2" s="173"/>
      <c r="E2" s="168"/>
      <c r="F2" s="129"/>
    </row>
    <row r="3" spans="2:6" ht="15.75">
      <c r="B3" s="522" t="s">
        <v>56</v>
      </c>
      <c r="C3" s="522"/>
      <c r="D3" s="522"/>
      <c r="E3" s="522"/>
      <c r="F3" s="522"/>
    </row>
    <row r="4" spans="2:6" ht="15.75">
      <c r="B4" s="523" t="s">
        <v>2</v>
      </c>
      <c r="C4" s="522"/>
      <c r="D4" s="522"/>
      <c r="E4" s="522"/>
      <c r="F4" s="522"/>
    </row>
    <row r="5" spans="2:6">
      <c r="B5" s="168"/>
      <c r="C5" s="168"/>
      <c r="D5" s="173"/>
      <c r="E5" s="168"/>
      <c r="F5" s="129"/>
    </row>
    <row r="6" spans="2:6" ht="15" customHeight="1">
      <c r="B6" s="175" t="s">
        <v>57</v>
      </c>
      <c r="C6" s="175"/>
      <c r="D6" s="176" t="s">
        <v>316</v>
      </c>
      <c r="E6" s="175"/>
      <c r="F6" s="175"/>
    </row>
    <row r="7" spans="2:6" ht="15" customHeight="1">
      <c r="B7" s="175" t="s">
        <v>58</v>
      </c>
      <c r="C7" s="175"/>
      <c r="D7" s="524" t="s">
        <v>267</v>
      </c>
      <c r="E7" s="524"/>
      <c r="F7" s="524"/>
    </row>
    <row r="8" spans="2:6">
      <c r="B8" s="175" t="s">
        <v>59</v>
      </c>
      <c r="C8" s="175"/>
      <c r="D8" s="177" t="s">
        <v>268</v>
      </c>
      <c r="E8" s="175"/>
      <c r="F8" s="175"/>
    </row>
    <row r="9" spans="2:6">
      <c r="B9" s="175" t="s">
        <v>60</v>
      </c>
      <c r="C9" s="175"/>
      <c r="D9" s="178" t="s">
        <v>61</v>
      </c>
      <c r="E9" s="175"/>
      <c r="F9" s="175"/>
    </row>
    <row r="10" spans="2:6">
      <c r="B10" s="175" t="s">
        <v>62</v>
      </c>
      <c r="C10" s="175"/>
      <c r="D10" s="179" t="s">
        <v>266</v>
      </c>
      <c r="E10" s="175"/>
      <c r="F10" s="175"/>
    </row>
    <row r="11" spans="2:6">
      <c r="B11" s="175" t="s">
        <v>63</v>
      </c>
      <c r="C11" s="175"/>
      <c r="D11" s="176">
        <f>SUM(D12:D15)</f>
        <v>33000000</v>
      </c>
      <c r="E11" s="180"/>
      <c r="F11" s="180"/>
    </row>
    <row r="12" spans="2:6">
      <c r="B12" s="175"/>
      <c r="C12" s="175" t="s">
        <v>64</v>
      </c>
      <c r="D12" s="177">
        <f>'CBA2'!F36</f>
        <v>33000000</v>
      </c>
      <c r="E12" s="180" t="s">
        <v>65</v>
      </c>
      <c r="F12" s="181"/>
    </row>
    <row r="13" spans="2:6">
      <c r="B13" s="175"/>
      <c r="C13" s="175" t="s">
        <v>66</v>
      </c>
      <c r="D13" s="177">
        <f>'CBA2'!G36</f>
        <v>0</v>
      </c>
      <c r="E13" s="180"/>
      <c r="F13" s="180"/>
    </row>
    <row r="14" spans="2:6">
      <c r="B14" s="175"/>
      <c r="C14" s="175" t="s">
        <v>67</v>
      </c>
      <c r="D14" s="177">
        <f>+'CBA2'!J36</f>
        <v>0</v>
      </c>
      <c r="E14" s="180"/>
      <c r="F14" s="180"/>
    </row>
    <row r="15" spans="2:6">
      <c r="B15" s="175"/>
      <c r="C15" s="175" t="s">
        <v>68</v>
      </c>
      <c r="D15" s="177">
        <f>+'CBA2'!I36</f>
        <v>0</v>
      </c>
      <c r="E15" s="180"/>
      <c r="F15" s="180"/>
    </row>
    <row r="16" spans="2:6">
      <c r="B16" s="175" t="s">
        <v>69</v>
      </c>
      <c r="C16" s="175"/>
      <c r="D16" s="177"/>
      <c r="E16" s="180"/>
      <c r="F16" s="180"/>
    </row>
    <row r="17" spans="2:7">
      <c r="B17" s="175" t="s">
        <v>70</v>
      </c>
      <c r="C17" s="175"/>
      <c r="D17" s="182">
        <f>'CBA2'!C36</f>
        <v>2587</v>
      </c>
      <c r="E17" s="180" t="s">
        <v>71</v>
      </c>
      <c r="F17" s="180"/>
    </row>
    <row r="18" spans="2:7">
      <c r="B18" s="175" t="s">
        <v>72</v>
      </c>
      <c r="C18" s="175"/>
      <c r="D18" s="177" t="s">
        <v>321</v>
      </c>
      <c r="E18" s="175"/>
      <c r="F18" s="175"/>
    </row>
    <row r="19" spans="2:7">
      <c r="B19" s="175" t="s">
        <v>73</v>
      </c>
      <c r="C19" s="175"/>
      <c r="D19" s="177" t="s">
        <v>74</v>
      </c>
      <c r="E19" s="175"/>
      <c r="F19" s="175"/>
    </row>
    <row r="20" spans="2:7">
      <c r="B20" s="175"/>
      <c r="C20" s="175"/>
      <c r="D20" s="177"/>
      <c r="E20" s="175"/>
      <c r="F20" s="175"/>
    </row>
    <row r="21" spans="2:7" ht="42" customHeight="1">
      <c r="B21" s="183" t="s">
        <v>5</v>
      </c>
      <c r="C21" s="184" t="s">
        <v>75</v>
      </c>
      <c r="D21" s="185" t="s">
        <v>76</v>
      </c>
      <c r="E21" s="186" t="s">
        <v>77</v>
      </c>
      <c r="F21" s="186" t="s">
        <v>9</v>
      </c>
      <c r="G21" s="187" t="s">
        <v>78</v>
      </c>
    </row>
    <row r="22" spans="2:7">
      <c r="B22" s="188">
        <v>1</v>
      </c>
      <c r="C22" s="189" t="s">
        <v>79</v>
      </c>
      <c r="D22" s="190" t="s">
        <v>80</v>
      </c>
      <c r="E22" s="191"/>
      <c r="F22" s="192"/>
      <c r="G22" s="193">
        <f>E22+F22</f>
        <v>0</v>
      </c>
    </row>
    <row r="23" spans="2:7">
      <c r="B23" s="194"/>
      <c r="C23" s="195"/>
      <c r="D23" s="196" t="s">
        <v>81</v>
      </c>
      <c r="E23" s="197">
        <f>SUM(E22)</f>
        <v>0</v>
      </c>
      <c r="F23" s="197">
        <f>SUM(F22)</f>
        <v>0</v>
      </c>
      <c r="G23" s="197">
        <f>SUM(G22)</f>
        <v>0</v>
      </c>
    </row>
    <row r="24" spans="2:7">
      <c r="B24" s="194"/>
      <c r="C24" s="525" t="s">
        <v>82</v>
      </c>
      <c r="D24" s="526"/>
      <c r="E24" s="527"/>
      <c r="F24" s="198"/>
      <c r="G24" s="193">
        <f t="shared" ref="G24:G41" si="0">E24+F24</f>
        <v>0</v>
      </c>
    </row>
    <row r="25" spans="2:7">
      <c r="B25" s="194">
        <v>2</v>
      </c>
      <c r="C25" s="199" t="s">
        <v>83</v>
      </c>
      <c r="D25" s="200" t="s">
        <v>84</v>
      </c>
      <c r="E25" s="201"/>
      <c r="F25" s="198"/>
      <c r="G25" s="193">
        <f t="shared" si="0"/>
        <v>0</v>
      </c>
    </row>
    <row r="26" spans="2:7">
      <c r="B26" s="194">
        <v>3</v>
      </c>
      <c r="C26" s="199" t="s">
        <v>85</v>
      </c>
      <c r="D26" s="200" t="s">
        <v>86</v>
      </c>
      <c r="E26" s="201"/>
      <c r="F26" s="198"/>
      <c r="G26" s="193">
        <f t="shared" si="0"/>
        <v>0</v>
      </c>
    </row>
    <row r="27" spans="2:7">
      <c r="B27" s="194">
        <v>4</v>
      </c>
      <c r="C27" s="199" t="s">
        <v>87</v>
      </c>
      <c r="D27" s="200" t="s">
        <v>88</v>
      </c>
      <c r="E27" s="201"/>
      <c r="F27" s="198"/>
      <c r="G27" s="193">
        <f t="shared" si="0"/>
        <v>0</v>
      </c>
    </row>
    <row r="28" spans="2:7">
      <c r="B28" s="194">
        <v>5</v>
      </c>
      <c r="C28" s="199" t="s">
        <v>89</v>
      </c>
      <c r="D28" s="200" t="s">
        <v>90</v>
      </c>
      <c r="E28" s="201"/>
      <c r="F28" s="198"/>
      <c r="G28" s="193">
        <f t="shared" si="0"/>
        <v>0</v>
      </c>
    </row>
    <row r="29" spans="2:7">
      <c r="B29" s="194">
        <v>6</v>
      </c>
      <c r="C29" s="199" t="s">
        <v>91</v>
      </c>
      <c r="D29" s="200" t="s">
        <v>92</v>
      </c>
      <c r="E29" s="201"/>
      <c r="F29" s="198"/>
      <c r="G29" s="193">
        <f t="shared" si="0"/>
        <v>0</v>
      </c>
    </row>
    <row r="30" spans="2:7">
      <c r="B30" s="194">
        <v>7</v>
      </c>
      <c r="C30" s="202" t="s">
        <v>93</v>
      </c>
      <c r="D30" s="200" t="s">
        <v>94</v>
      </c>
      <c r="E30" s="201"/>
      <c r="F30" s="198">
        <f>'CBA2'!S36</f>
        <v>28600000</v>
      </c>
      <c r="G30" s="193">
        <f t="shared" si="0"/>
        <v>28600000</v>
      </c>
    </row>
    <row r="31" spans="2:7">
      <c r="B31" s="194">
        <v>8</v>
      </c>
      <c r="C31" s="199" t="s">
        <v>95</v>
      </c>
      <c r="D31" s="200" t="s">
        <v>96</v>
      </c>
      <c r="E31" s="201"/>
      <c r="F31" s="198"/>
      <c r="G31" s="193">
        <f t="shared" si="0"/>
        <v>0</v>
      </c>
    </row>
    <row r="32" spans="2:7">
      <c r="B32" s="194">
        <v>9</v>
      </c>
      <c r="C32" s="199" t="s">
        <v>97</v>
      </c>
      <c r="D32" s="200" t="s">
        <v>98</v>
      </c>
      <c r="E32" s="201"/>
      <c r="F32" s="198">
        <f>'RBL 2'!F36</f>
        <v>0</v>
      </c>
      <c r="G32" s="193">
        <f t="shared" si="0"/>
        <v>0</v>
      </c>
    </row>
    <row r="33" spans="2:7">
      <c r="B33" s="194">
        <v>10</v>
      </c>
      <c r="C33" s="203" t="s">
        <v>99</v>
      </c>
      <c r="D33" s="204" t="s">
        <v>100</v>
      </c>
      <c r="E33" s="205"/>
      <c r="F33" s="198"/>
      <c r="G33" s="193">
        <f t="shared" si="0"/>
        <v>0</v>
      </c>
    </row>
    <row r="34" spans="2:7">
      <c r="B34" s="194"/>
      <c r="C34" s="528" t="s">
        <v>101</v>
      </c>
      <c r="D34" s="529"/>
      <c r="E34" s="197">
        <f>SUM(E25:E33)</f>
        <v>0</v>
      </c>
      <c r="F34" s="206">
        <f>SUM(F25:F33)</f>
        <v>28600000</v>
      </c>
      <c r="G34" s="206">
        <f>SUM(G25:G33)</f>
        <v>28600000</v>
      </c>
    </row>
    <row r="35" spans="2:7">
      <c r="B35" s="194"/>
      <c r="C35" s="532" t="s">
        <v>102</v>
      </c>
      <c r="D35" s="533"/>
      <c r="E35" s="534"/>
      <c r="F35" s="198"/>
      <c r="G35" s="193">
        <f t="shared" si="0"/>
        <v>0</v>
      </c>
    </row>
    <row r="36" spans="2:7">
      <c r="B36" s="194">
        <v>11</v>
      </c>
      <c r="C36" s="199" t="s">
        <v>103</v>
      </c>
      <c r="D36" s="200" t="s">
        <v>104</v>
      </c>
      <c r="E36" s="201"/>
      <c r="F36" s="198">
        <v>2200000</v>
      </c>
      <c r="G36" s="193">
        <f t="shared" si="0"/>
        <v>2200000</v>
      </c>
    </row>
    <row r="37" spans="2:7">
      <c r="B37" s="194">
        <v>12</v>
      </c>
      <c r="C37" s="203" t="s">
        <v>105</v>
      </c>
      <c r="D37" s="204" t="s">
        <v>106</v>
      </c>
      <c r="E37" s="205"/>
      <c r="F37" s="198">
        <f>'RBL 2'!F24</f>
        <v>0</v>
      </c>
      <c r="G37" s="193">
        <f t="shared" si="0"/>
        <v>0</v>
      </c>
    </row>
    <row r="38" spans="2:7">
      <c r="B38" s="194"/>
      <c r="C38" s="528" t="s">
        <v>107</v>
      </c>
      <c r="D38" s="529"/>
      <c r="E38" s="197">
        <f>SUM(E36:E37)</f>
        <v>0</v>
      </c>
      <c r="F38" s="206">
        <f>SUM(F36:F37)</f>
        <v>2200000</v>
      </c>
      <c r="G38" s="206">
        <f>SUM(G36:G37)</f>
        <v>2200000</v>
      </c>
    </row>
    <row r="39" spans="2:7">
      <c r="B39" s="194"/>
      <c r="C39" s="532" t="s">
        <v>108</v>
      </c>
      <c r="D39" s="533"/>
      <c r="E39" s="534"/>
      <c r="F39" s="198"/>
      <c r="G39" s="193">
        <f t="shared" si="0"/>
        <v>0</v>
      </c>
    </row>
    <row r="40" spans="2:7">
      <c r="B40" s="194">
        <v>13</v>
      </c>
      <c r="C40" s="199" t="s">
        <v>109</v>
      </c>
      <c r="D40" s="200" t="str">
        <f>'RBL 2'!E26</f>
        <v>Perjalanan Dinas Dalam Negeri</v>
      </c>
      <c r="E40" s="201"/>
      <c r="F40" s="198">
        <f>'RBL 2'!F31</f>
        <v>0</v>
      </c>
      <c r="G40" s="193">
        <f t="shared" si="0"/>
        <v>0</v>
      </c>
    </row>
    <row r="41" spans="2:7">
      <c r="B41" s="194">
        <v>14</v>
      </c>
      <c r="C41" s="199" t="s">
        <v>110</v>
      </c>
      <c r="D41" s="200" t="s">
        <v>111</v>
      </c>
      <c r="E41" s="201"/>
      <c r="F41" s="198"/>
      <c r="G41" s="193">
        <f t="shared" si="0"/>
        <v>0</v>
      </c>
    </row>
    <row r="42" spans="2:7">
      <c r="B42" s="194"/>
      <c r="C42" s="535" t="s">
        <v>112</v>
      </c>
      <c r="D42" s="536"/>
      <c r="E42" s="206">
        <f>SUM(E40:E41)</f>
        <v>0</v>
      </c>
      <c r="F42" s="206">
        <f>SUM(F40:F41)</f>
        <v>0</v>
      </c>
      <c r="G42" s="206">
        <f>SUM(G40:G41)</f>
        <v>0</v>
      </c>
    </row>
    <row r="43" spans="2:7">
      <c r="B43" s="194"/>
      <c r="C43" s="537"/>
      <c r="D43" s="538"/>
      <c r="E43" s="207"/>
      <c r="F43" s="207"/>
      <c r="G43" s="193"/>
    </row>
    <row r="44" spans="2:7">
      <c r="B44" s="208" t="s">
        <v>12</v>
      </c>
      <c r="C44" s="209"/>
      <c r="D44" s="210"/>
      <c r="E44" s="211">
        <f>E42+E38+E34+E23</f>
        <v>0</v>
      </c>
      <c r="F44" s="211">
        <f>F42+F38+F34+F23</f>
        <v>30800000</v>
      </c>
      <c r="G44" s="211">
        <f>G42+G38+G34+G23</f>
        <v>30800000</v>
      </c>
    </row>
    <row r="45" spans="2:7">
      <c r="B45" s="212"/>
      <c r="C45" s="213"/>
      <c r="D45" s="214"/>
      <c r="E45" s="215" t="s">
        <v>113</v>
      </c>
      <c r="F45" s="216"/>
      <c r="G45" s="217">
        <f>G44</f>
        <v>30800000</v>
      </c>
    </row>
    <row r="46" spans="2:7">
      <c r="B46" s="218"/>
      <c r="C46" s="219"/>
      <c r="D46" s="214"/>
      <c r="E46" s="220" t="s">
        <v>114</v>
      </c>
      <c r="F46" s="221">
        <f>G46/(D12)</f>
        <v>0.11896803652968031</v>
      </c>
      <c r="G46" s="222">
        <f>'CBA2'!AF36</f>
        <v>3925945.2054794505</v>
      </c>
    </row>
    <row r="47" spans="2:7">
      <c r="B47" s="218"/>
      <c r="C47" s="219"/>
      <c r="D47" s="214"/>
      <c r="E47" s="220" t="s">
        <v>115</v>
      </c>
      <c r="F47" s="223"/>
      <c r="G47" s="224">
        <f>SUM(G45:G46)</f>
        <v>34725945.205479451</v>
      </c>
    </row>
    <row r="48" spans="2:7">
      <c r="B48" s="218"/>
      <c r="C48" s="219"/>
      <c r="D48" s="214"/>
      <c r="E48" s="220" t="s">
        <v>116</v>
      </c>
      <c r="F48" s="225">
        <f>'CBA2'!Z12</f>
        <v>0.01</v>
      </c>
      <c r="G48" s="226">
        <f>'CBA2'!Z36</f>
        <v>286000</v>
      </c>
    </row>
    <row r="49" spans="2:8">
      <c r="B49" s="218"/>
      <c r="C49" s="219"/>
      <c r="D49" s="214"/>
      <c r="E49" s="220" t="s">
        <v>117</v>
      </c>
      <c r="F49" s="225"/>
      <c r="G49" s="227">
        <f>SUM(G47:G48)</f>
        <v>35011945.205479451</v>
      </c>
    </row>
    <row r="50" spans="2:8">
      <c r="B50" s="218"/>
      <c r="C50" s="219"/>
      <c r="D50" s="214"/>
      <c r="E50" s="220" t="s">
        <v>118</v>
      </c>
      <c r="F50" s="225">
        <f>'CBA2'!AA12</f>
        <v>6.5753424657534242E-3</v>
      </c>
      <c r="G50" s="226">
        <f>'CBA2'!AA36</f>
        <v>188054.79452054793</v>
      </c>
    </row>
    <row r="51" spans="2:8">
      <c r="B51" s="218"/>
      <c r="C51" s="219"/>
      <c r="D51" s="214"/>
      <c r="E51" s="220" t="s">
        <v>119</v>
      </c>
      <c r="F51" s="223"/>
      <c r="G51" s="227">
        <f>G49+G50</f>
        <v>35200000</v>
      </c>
    </row>
    <row r="52" spans="2:8">
      <c r="B52" s="218"/>
      <c r="C52" s="219"/>
      <c r="D52" s="214"/>
      <c r="E52" s="220" t="s">
        <v>120</v>
      </c>
      <c r="F52" s="223"/>
      <c r="G52" s="226">
        <f>'CBA2'!AB36</f>
        <v>0</v>
      </c>
    </row>
    <row r="53" spans="2:8">
      <c r="B53" s="218"/>
      <c r="C53" s="219"/>
      <c r="D53" s="214"/>
      <c r="E53" s="220" t="s">
        <v>121</v>
      </c>
      <c r="F53" s="225">
        <f>'CBA2'!AC12</f>
        <v>0</v>
      </c>
      <c r="G53" s="226">
        <v>0</v>
      </c>
    </row>
    <row r="54" spans="2:8">
      <c r="B54" s="218"/>
      <c r="C54" s="219"/>
      <c r="D54" s="214"/>
      <c r="E54" s="220" t="s">
        <v>122</v>
      </c>
      <c r="F54" s="225"/>
      <c r="G54" s="227">
        <f>SUM(G51:G53)</f>
        <v>35200000</v>
      </c>
    </row>
    <row r="55" spans="2:8">
      <c r="B55" s="218"/>
      <c r="C55" s="219"/>
      <c r="D55" s="214"/>
      <c r="E55" s="220" t="s">
        <v>123</v>
      </c>
      <c r="F55" s="223"/>
      <c r="G55" s="226">
        <f>D13</f>
        <v>0</v>
      </c>
    </row>
    <row r="56" spans="2:8">
      <c r="B56" s="218"/>
      <c r="C56" s="219"/>
      <c r="D56" s="214"/>
      <c r="E56" s="220" t="s">
        <v>124</v>
      </c>
      <c r="F56" s="223"/>
      <c r="G56" s="227">
        <f>SUM(G54:G55)</f>
        <v>35200000</v>
      </c>
    </row>
    <row r="57" spans="2:8">
      <c r="B57" s="228"/>
      <c r="C57" s="229"/>
      <c r="D57" s="230"/>
      <c r="E57" s="231" t="s">
        <v>125</v>
      </c>
      <c r="F57" s="232"/>
      <c r="G57" s="233">
        <f>G56/D17</f>
        <v>13606.494008504058</v>
      </c>
    </row>
    <row r="58" spans="2:8">
      <c r="B58" s="175"/>
      <c r="C58" s="175"/>
      <c r="D58" s="234"/>
      <c r="E58" s="175"/>
      <c r="F58" s="235"/>
    </row>
    <row r="59" spans="2:8">
      <c r="B59" s="236"/>
      <c r="C59" s="180"/>
      <c r="D59" s="237"/>
      <c r="E59" s="530"/>
      <c r="F59" s="530"/>
      <c r="G59" s="531" t="s">
        <v>372</v>
      </c>
      <c r="H59" s="531"/>
    </row>
    <row r="60" spans="2:8" s="168" customFormat="1">
      <c r="B60" s="239"/>
      <c r="C60" s="239" t="s">
        <v>41</v>
      </c>
      <c r="D60" s="173"/>
      <c r="E60" s="239" t="s">
        <v>44</v>
      </c>
      <c r="F60" s="240"/>
      <c r="G60" s="129" t="s">
        <v>45</v>
      </c>
      <c r="H60" s="241"/>
    </row>
    <row r="61" spans="2:8" s="168" customFormat="1">
      <c r="B61" s="239"/>
      <c r="C61" s="239" t="s">
        <v>126</v>
      </c>
      <c r="D61" s="173"/>
      <c r="E61" s="239" t="s">
        <v>50</v>
      </c>
      <c r="F61" s="239"/>
      <c r="G61" s="129" t="s">
        <v>51</v>
      </c>
      <c r="H61" s="241"/>
    </row>
    <row r="62" spans="2:8" s="168" customFormat="1">
      <c r="B62" s="129"/>
      <c r="C62" s="129"/>
      <c r="D62" s="173"/>
      <c r="E62" s="129"/>
      <c r="G62" s="129"/>
    </row>
    <row r="63" spans="2:8" s="168" customFormat="1">
      <c r="B63" s="129"/>
      <c r="C63" s="129"/>
      <c r="D63" s="173"/>
      <c r="E63" s="129"/>
      <c r="G63" s="129"/>
    </row>
    <row r="64" spans="2:8" s="168" customFormat="1">
      <c r="B64" s="129"/>
      <c r="C64" s="129"/>
      <c r="D64" s="173"/>
      <c r="E64" s="129"/>
      <c r="G64" s="129"/>
    </row>
    <row r="65" spans="2:7" s="168" customFormat="1">
      <c r="B65" s="129"/>
      <c r="C65" s="129" t="s">
        <v>127</v>
      </c>
      <c r="D65" s="173"/>
      <c r="E65" s="129" t="s">
        <v>128</v>
      </c>
      <c r="G65" s="367" t="s">
        <v>129</v>
      </c>
    </row>
    <row r="66" spans="2:7" s="168" customFormat="1">
      <c r="B66" s="129"/>
      <c r="C66" s="129" t="s">
        <v>54</v>
      </c>
      <c r="D66" s="173"/>
      <c r="E66" s="130" t="s">
        <v>130</v>
      </c>
      <c r="G66" s="367" t="s">
        <v>131</v>
      </c>
    </row>
    <row r="67" spans="2:7" s="168" customFormat="1">
      <c r="D67" s="173"/>
      <c r="E67" s="129"/>
      <c r="G67" s="129"/>
    </row>
    <row r="68" spans="2:7" s="168" customFormat="1">
      <c r="B68" s="129"/>
      <c r="C68" s="129"/>
      <c r="D68" s="173"/>
      <c r="E68" s="129"/>
      <c r="G68" s="129"/>
    </row>
    <row r="69" spans="2:7" s="168" customFormat="1">
      <c r="B69" s="129"/>
      <c r="C69" s="129"/>
      <c r="D69" s="173"/>
      <c r="E69" s="129"/>
      <c r="G69" s="129"/>
    </row>
    <row r="70" spans="2:7" s="168" customFormat="1">
      <c r="B70" s="129"/>
      <c r="C70" s="129"/>
      <c r="D70" s="173"/>
      <c r="E70" s="129"/>
      <c r="G70" s="129"/>
    </row>
    <row r="71" spans="2:7" s="168" customFormat="1">
      <c r="B71" s="129"/>
      <c r="C71" s="129"/>
      <c r="D71" s="173"/>
      <c r="E71" s="129"/>
      <c r="G71" s="129"/>
    </row>
    <row r="72" spans="2:7" s="168" customFormat="1">
      <c r="B72" s="129"/>
      <c r="C72" s="129"/>
      <c r="D72" s="173"/>
      <c r="E72" s="129"/>
      <c r="G72" s="129"/>
    </row>
    <row r="73" spans="2:7" s="168" customFormat="1">
      <c r="B73" s="129"/>
      <c r="C73" s="129"/>
      <c r="D73" s="173"/>
      <c r="E73" s="129"/>
      <c r="G73" s="129"/>
    </row>
    <row r="74" spans="2:7" s="168" customFormat="1">
      <c r="B74" s="129"/>
      <c r="C74" s="129"/>
      <c r="D74" s="173"/>
      <c r="E74" s="129"/>
      <c r="G74" s="129"/>
    </row>
    <row r="75" spans="2:7">
      <c r="C75" s="168"/>
      <c r="D75" s="173"/>
      <c r="E75" s="168"/>
      <c r="F75" s="129"/>
    </row>
  </sheetData>
  <mergeCells count="12">
    <mergeCell ref="E59:F59"/>
    <mergeCell ref="G59:H59"/>
    <mergeCell ref="C35:E35"/>
    <mergeCell ref="C38:D38"/>
    <mergeCell ref="C39:E39"/>
    <mergeCell ref="C42:D42"/>
    <mergeCell ref="C43:D43"/>
    <mergeCell ref="B3:F3"/>
    <mergeCell ref="B4:F4"/>
    <mergeCell ref="D7:F7"/>
    <mergeCell ref="C24:E24"/>
    <mergeCell ref="C34:D34"/>
  </mergeCells>
  <pageMargins left="0.78680555555555598" right="0" top="0" bottom="0" header="0.29861111111111099" footer="0.29861111111111099"/>
  <pageSetup paperSize="9" scale="73"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8"/>
  <sheetViews>
    <sheetView view="pageBreakPreview" zoomScaleNormal="100" workbookViewId="0">
      <selection activeCell="B6" sqref="B6"/>
    </sheetView>
  </sheetViews>
  <sheetFormatPr defaultColWidth="9" defaultRowHeight="14.25"/>
  <cols>
    <col min="1" max="1" width="3.33203125" customWidth="1"/>
    <col min="2" max="2" width="3.796875" customWidth="1"/>
    <col min="3" max="3" width="23.796875" customWidth="1"/>
    <col min="4" max="4" width="32.19921875" customWidth="1"/>
    <col min="5" max="5" width="17.19921875"/>
    <col min="6" max="6" width="23.6640625" customWidth="1"/>
    <col min="7" max="7" width="19.1328125" customWidth="1"/>
  </cols>
  <sheetData>
    <row r="1" spans="1:7">
      <c r="A1" s="136"/>
      <c r="B1" s="136" t="s">
        <v>132</v>
      </c>
      <c r="C1" s="136"/>
      <c r="D1" s="136"/>
      <c r="E1" s="136"/>
      <c r="F1" s="136"/>
      <c r="G1" s="136"/>
    </row>
    <row r="2" spans="1:7">
      <c r="A2" s="136"/>
      <c r="B2" s="136" t="s">
        <v>2</v>
      </c>
      <c r="C2" s="136"/>
      <c r="D2" s="136"/>
      <c r="E2" s="136"/>
      <c r="F2" s="136"/>
      <c r="G2" s="136"/>
    </row>
    <row r="3" spans="1:7">
      <c r="A3" s="136"/>
      <c r="B3" s="542" t="s">
        <v>133</v>
      </c>
      <c r="C3" s="542"/>
      <c r="D3" s="542"/>
      <c r="E3" s="542"/>
      <c r="F3" s="542"/>
      <c r="G3" s="136"/>
    </row>
    <row r="4" spans="1:7">
      <c r="A4" s="136"/>
      <c r="B4" s="543" t="str">
        <f>'rekap CBA 1'!D6</f>
        <v>BANK SYARIAH NASIONAL BATAM</v>
      </c>
      <c r="C4" s="543"/>
      <c r="D4" s="543"/>
      <c r="E4" s="543"/>
      <c r="F4" s="543"/>
      <c r="G4" s="136"/>
    </row>
    <row r="5" spans="1:7">
      <c r="A5" s="136"/>
      <c r="B5" s="136" t="s">
        <v>323</v>
      </c>
      <c r="C5" s="136"/>
      <c r="D5" s="136"/>
      <c r="E5" s="136"/>
      <c r="F5" s="136"/>
      <c r="G5" s="136"/>
    </row>
    <row r="6" spans="1:7">
      <c r="A6" s="136"/>
      <c r="B6" s="137" t="s">
        <v>134</v>
      </c>
      <c r="C6" s="137" t="s">
        <v>135</v>
      </c>
      <c r="D6" s="137" t="s">
        <v>136</v>
      </c>
      <c r="E6" s="137" t="s">
        <v>137</v>
      </c>
      <c r="F6" s="137" t="s">
        <v>138</v>
      </c>
      <c r="G6" s="136"/>
    </row>
    <row r="7" spans="1:7">
      <c r="A7" s="136"/>
      <c r="B7" s="137"/>
      <c r="C7" s="138"/>
      <c r="D7" s="139"/>
      <c r="E7" s="140"/>
      <c r="F7" s="137"/>
      <c r="G7" s="136"/>
    </row>
    <row r="8" spans="1:7">
      <c r="A8" s="136"/>
      <c r="B8" s="137" t="s">
        <v>139</v>
      </c>
      <c r="C8" s="141">
        <v>5102</v>
      </c>
      <c r="D8" s="142" t="s">
        <v>82</v>
      </c>
      <c r="E8" s="140"/>
      <c r="F8" s="137"/>
      <c r="G8" s="136"/>
    </row>
    <row r="9" spans="1:7" ht="15.75">
      <c r="A9" s="136"/>
      <c r="B9" s="137"/>
      <c r="C9" s="143">
        <v>5102050004</v>
      </c>
      <c r="D9" s="144" t="s">
        <v>96</v>
      </c>
      <c r="E9" s="145">
        <f>'CBA2'!L36</f>
        <v>0</v>
      </c>
      <c r="F9" s="137"/>
      <c r="G9" s="136"/>
    </row>
    <row r="10" spans="1:7">
      <c r="A10" s="136"/>
      <c r="B10" s="146">
        <v>1</v>
      </c>
      <c r="C10" s="147">
        <v>5102050002</v>
      </c>
      <c r="D10" s="90" t="s">
        <v>94</v>
      </c>
      <c r="E10" s="145">
        <f>'CBA2'!S36</f>
        <v>28600000</v>
      </c>
      <c r="F10" s="148"/>
      <c r="G10" s="136"/>
    </row>
    <row r="11" spans="1:7">
      <c r="A11" s="136"/>
      <c r="B11" s="146">
        <v>2</v>
      </c>
      <c r="C11" s="147">
        <v>5102020101</v>
      </c>
      <c r="D11" s="90" t="s">
        <v>86</v>
      </c>
      <c r="E11" s="145"/>
      <c r="F11" s="148"/>
      <c r="G11" s="136"/>
    </row>
    <row r="12" spans="1:7">
      <c r="A12" s="136"/>
      <c r="B12" s="146">
        <v>3</v>
      </c>
      <c r="C12" s="149">
        <v>5102020102</v>
      </c>
      <c r="D12" s="150" t="s">
        <v>140</v>
      </c>
      <c r="E12" s="145"/>
      <c r="F12" s="148"/>
      <c r="G12" s="136"/>
    </row>
    <row r="13" spans="1:7">
      <c r="A13" s="136"/>
      <c r="B13" s="146">
        <v>4</v>
      </c>
      <c r="C13" s="151">
        <v>5102080001</v>
      </c>
      <c r="D13" s="152" t="s">
        <v>98</v>
      </c>
      <c r="E13" s="145">
        <f>'RBL 2'!F36</f>
        <v>0</v>
      </c>
      <c r="F13" s="148"/>
      <c r="G13" s="153"/>
    </row>
    <row r="14" spans="1:7">
      <c r="A14" s="136"/>
      <c r="B14" s="146"/>
      <c r="C14" s="154"/>
      <c r="D14" s="154"/>
      <c r="E14" s="145"/>
      <c r="F14" s="148"/>
      <c r="G14" s="136"/>
    </row>
    <row r="15" spans="1:7">
      <c r="A15" s="136"/>
      <c r="B15" s="146"/>
      <c r="C15" s="154"/>
      <c r="D15" s="155"/>
      <c r="E15" s="145"/>
      <c r="F15" s="148"/>
      <c r="G15" s="136"/>
    </row>
    <row r="16" spans="1:7">
      <c r="A16" s="136"/>
      <c r="B16" s="137"/>
      <c r="C16" s="137"/>
      <c r="D16" s="156" t="s">
        <v>141</v>
      </c>
      <c r="E16" s="140">
        <f>SUM(E9:E13)</f>
        <v>28600000</v>
      </c>
      <c r="F16" s="137"/>
      <c r="G16" s="136"/>
    </row>
    <row r="17" spans="1:7">
      <c r="A17" s="136"/>
      <c r="B17" s="137" t="s">
        <v>142</v>
      </c>
      <c r="C17" s="137">
        <v>5103</v>
      </c>
      <c r="D17" s="142" t="s">
        <v>143</v>
      </c>
      <c r="E17" s="140"/>
      <c r="F17" s="137"/>
      <c r="G17" s="136"/>
    </row>
    <row r="18" spans="1:7">
      <c r="A18" s="136"/>
      <c r="B18" s="146">
        <v>1</v>
      </c>
      <c r="C18" s="146">
        <v>5103010001</v>
      </c>
      <c r="D18" s="148" t="s">
        <v>104</v>
      </c>
      <c r="E18" s="145"/>
      <c r="F18" s="137"/>
      <c r="G18" s="136"/>
    </row>
    <row r="19" spans="1:7">
      <c r="A19" s="136"/>
      <c r="B19" s="146">
        <v>2</v>
      </c>
      <c r="C19" s="146">
        <v>5103010002</v>
      </c>
      <c r="D19" s="148" t="s">
        <v>144</v>
      </c>
      <c r="E19" s="145"/>
      <c r="F19" s="137"/>
      <c r="G19" s="136"/>
    </row>
    <row r="20" spans="1:7">
      <c r="A20" s="136"/>
      <c r="B20" s="146">
        <v>3</v>
      </c>
      <c r="C20" s="146">
        <v>5103010003</v>
      </c>
      <c r="D20" s="148" t="s">
        <v>106</v>
      </c>
      <c r="E20" s="145">
        <f>'RBL 2'!F24</f>
        <v>0</v>
      </c>
      <c r="F20" s="137"/>
      <c r="G20" s="136"/>
    </row>
    <row r="21" spans="1:7">
      <c r="A21" s="136"/>
      <c r="B21" s="137"/>
      <c r="C21" s="137"/>
      <c r="D21" s="156" t="s">
        <v>141</v>
      </c>
      <c r="E21" s="140">
        <f>SUM(E18:E20)</f>
        <v>0</v>
      </c>
      <c r="F21" s="137"/>
      <c r="G21" s="136"/>
    </row>
    <row r="22" spans="1:7">
      <c r="A22" s="136"/>
      <c r="B22" s="137"/>
      <c r="C22" s="137"/>
      <c r="D22" s="156"/>
      <c r="E22" s="140"/>
      <c r="F22" s="137"/>
      <c r="G22" s="136"/>
    </row>
    <row r="23" spans="1:7">
      <c r="A23" s="136"/>
      <c r="B23" s="137" t="s">
        <v>145</v>
      </c>
      <c r="C23" s="157">
        <v>5104</v>
      </c>
      <c r="D23" s="158" t="s">
        <v>146</v>
      </c>
      <c r="E23" s="140"/>
      <c r="F23" s="137"/>
      <c r="G23" s="136"/>
    </row>
    <row r="24" spans="1:7">
      <c r="A24" s="136"/>
      <c r="B24" s="146">
        <v>1</v>
      </c>
      <c r="C24" s="138">
        <v>5104030001</v>
      </c>
      <c r="D24" s="90" t="s">
        <v>147</v>
      </c>
      <c r="E24" s="159">
        <f>'RBL 2'!F31</f>
        <v>0</v>
      </c>
      <c r="F24" s="150"/>
      <c r="G24" s="153"/>
    </row>
    <row r="25" spans="1:7">
      <c r="A25" s="136"/>
      <c r="B25" s="146">
        <v>2</v>
      </c>
      <c r="C25" s="146">
        <v>5104010002</v>
      </c>
      <c r="D25" s="150" t="s">
        <v>148</v>
      </c>
      <c r="E25" s="159"/>
      <c r="F25" s="150"/>
      <c r="G25" s="136"/>
    </row>
    <row r="26" spans="1:7">
      <c r="A26" s="136"/>
      <c r="B26" s="146">
        <v>3</v>
      </c>
      <c r="C26" s="146">
        <v>5104040002</v>
      </c>
      <c r="D26" s="150" t="s">
        <v>111</v>
      </c>
      <c r="E26" s="159"/>
      <c r="F26" s="150"/>
      <c r="G26" s="153"/>
    </row>
    <row r="27" spans="1:7">
      <c r="A27" s="136"/>
      <c r="B27" s="544" t="s">
        <v>141</v>
      </c>
      <c r="C27" s="544"/>
      <c r="D27" s="544"/>
      <c r="E27" s="160">
        <f>SUM(E24:E26)</f>
        <v>0</v>
      </c>
      <c r="F27" s="150"/>
      <c r="G27" s="136"/>
    </row>
    <row r="28" spans="1:7">
      <c r="A28" s="136"/>
      <c r="B28" s="156"/>
      <c r="C28" s="156"/>
      <c r="D28" s="156" t="s">
        <v>149</v>
      </c>
      <c r="E28" s="160">
        <f>E16+E21+E27</f>
        <v>28600000</v>
      </c>
      <c r="F28" s="150"/>
      <c r="G28" s="161"/>
    </row>
    <row r="29" spans="1:7">
      <c r="A29" s="136"/>
      <c r="B29" s="545" t="s">
        <v>150</v>
      </c>
      <c r="C29" s="545"/>
      <c r="D29" s="545"/>
      <c r="E29" s="159">
        <f>'CBA2'!C36</f>
        <v>2587</v>
      </c>
      <c r="F29" s="162"/>
      <c r="G29" s="161"/>
    </row>
    <row r="30" spans="1:7">
      <c r="A30" s="136"/>
      <c r="B30" s="544" t="s">
        <v>151</v>
      </c>
      <c r="C30" s="544"/>
      <c r="D30" s="544"/>
      <c r="E30" s="160">
        <f>E28/E29</f>
        <v>11055.276381909547</v>
      </c>
      <c r="F30" s="150"/>
      <c r="G30" s="136"/>
    </row>
    <row r="31" spans="1:7">
      <c r="A31" s="136"/>
      <c r="B31" s="163"/>
      <c r="C31" s="163"/>
      <c r="D31" s="163"/>
      <c r="E31" s="164"/>
      <c r="F31" s="136"/>
      <c r="G31" s="136"/>
    </row>
    <row r="32" spans="1:7">
      <c r="A32" s="136"/>
      <c r="B32" s="163"/>
      <c r="C32" s="165"/>
      <c r="D32" s="165"/>
      <c r="E32" s="166"/>
      <c r="F32" s="136"/>
      <c r="G32" s="136"/>
    </row>
    <row r="33" spans="1:8">
      <c r="A33" s="136"/>
      <c r="B33" s="163"/>
      <c r="C33" s="165"/>
      <c r="D33" s="539"/>
      <c r="E33" s="540"/>
      <c r="F33" s="541" t="str">
        <f>'rekap CBA 1'!G59</f>
        <v>Batam, 17 September 2026</v>
      </c>
      <c r="G33" s="541"/>
    </row>
    <row r="34" spans="1:8" s="1" customFormat="1">
      <c r="B34" s="33"/>
      <c r="C34" s="33" t="s">
        <v>41</v>
      </c>
      <c r="E34" s="33" t="s">
        <v>44</v>
      </c>
      <c r="F34" s="127"/>
      <c r="G34" s="32" t="s">
        <v>45</v>
      </c>
      <c r="H34" s="128"/>
    </row>
    <row r="35" spans="1:8" s="1" customFormat="1">
      <c r="B35" s="33"/>
      <c r="C35" s="33" t="s">
        <v>46</v>
      </c>
      <c r="E35" s="33" t="s">
        <v>50</v>
      </c>
      <c r="F35" s="33"/>
      <c r="G35" s="32" t="s">
        <v>51</v>
      </c>
      <c r="H35" s="128"/>
    </row>
    <row r="36" spans="1:8" s="1" customFormat="1">
      <c r="B36" s="32"/>
      <c r="C36" s="32"/>
      <c r="E36" s="32"/>
      <c r="G36" s="32"/>
    </row>
    <row r="37" spans="1:8" s="1" customFormat="1">
      <c r="B37" s="32"/>
      <c r="C37" s="32"/>
      <c r="E37" s="32"/>
      <c r="G37" s="32"/>
    </row>
    <row r="38" spans="1:8" s="1" customFormat="1">
      <c r="B38" s="32"/>
      <c r="C38" s="32"/>
      <c r="E38" s="32"/>
      <c r="G38" s="32"/>
    </row>
    <row r="39" spans="1:8" s="1" customFormat="1">
      <c r="B39" s="32"/>
      <c r="C39" s="129" t="s">
        <v>127</v>
      </c>
      <c r="E39" s="129" t="s">
        <v>128</v>
      </c>
      <c r="G39" s="32" t="s">
        <v>129</v>
      </c>
    </row>
    <row r="40" spans="1:8" s="1" customFormat="1">
      <c r="B40" s="32"/>
      <c r="C40" s="129" t="s">
        <v>54</v>
      </c>
      <c r="E40" s="130" t="s">
        <v>130</v>
      </c>
      <c r="G40" s="32" t="s">
        <v>131</v>
      </c>
    </row>
    <row r="41" spans="1:8" s="1" customFormat="1">
      <c r="E41" s="32"/>
      <c r="G41" s="32"/>
    </row>
    <row r="42" spans="1:8" s="1" customFormat="1">
      <c r="B42" s="32"/>
      <c r="C42" s="32" t="s">
        <v>42</v>
      </c>
      <c r="E42" s="32" t="s">
        <v>43</v>
      </c>
      <c r="G42" s="32" t="s">
        <v>43</v>
      </c>
    </row>
    <row r="43" spans="1:8" s="1" customFormat="1">
      <c r="B43" s="32"/>
      <c r="C43" s="32" t="s">
        <v>47</v>
      </c>
      <c r="E43" s="32" t="s">
        <v>48</v>
      </c>
      <c r="G43" s="32" t="s">
        <v>49</v>
      </c>
    </row>
    <row r="44" spans="1:8" s="1" customFormat="1">
      <c r="B44" s="32"/>
      <c r="C44" s="32"/>
      <c r="E44" s="32"/>
      <c r="G44" s="32"/>
    </row>
    <row r="45" spans="1:8" s="1" customFormat="1">
      <c r="B45" s="32"/>
      <c r="C45" s="32"/>
      <c r="E45" s="32"/>
      <c r="G45" s="32"/>
    </row>
    <row r="46" spans="1:8" s="1" customFormat="1">
      <c r="B46" s="32"/>
      <c r="C46" s="32"/>
      <c r="E46" s="32"/>
      <c r="G46" s="32"/>
    </row>
    <row r="47" spans="1:8" s="1" customFormat="1">
      <c r="B47" s="32"/>
      <c r="C47" s="167" t="s">
        <v>53</v>
      </c>
      <c r="D47" s="167"/>
      <c r="E47" s="167"/>
      <c r="G47" s="32"/>
    </row>
    <row r="48" spans="1:8" s="1" customFormat="1">
      <c r="B48" s="32"/>
      <c r="C48" s="129" t="s">
        <v>55</v>
      </c>
      <c r="E48" s="32"/>
      <c r="G48" s="32"/>
    </row>
  </sheetData>
  <mergeCells count="7">
    <mergeCell ref="D33:E33"/>
    <mergeCell ref="F33:G33"/>
    <mergeCell ref="B3:F3"/>
    <mergeCell ref="B4:F4"/>
    <mergeCell ref="B27:D27"/>
    <mergeCell ref="B29:D29"/>
    <mergeCell ref="B30:D30"/>
  </mergeCells>
  <pageMargins left="0.7" right="0.7" top="0.75" bottom="0.75" header="0.3" footer="0.3"/>
  <pageSetup paperSize="9" scale="6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2"/>
  <sheetViews>
    <sheetView topLeftCell="A3" workbookViewId="0">
      <selection activeCell="A5" sqref="A5:F5"/>
    </sheetView>
  </sheetViews>
  <sheetFormatPr defaultColWidth="9" defaultRowHeight="14.25"/>
  <cols>
    <col min="1" max="1" width="5.19921875" customWidth="1"/>
    <col min="2" max="2" width="37.19921875" customWidth="1"/>
    <col min="3" max="3" width="11.33203125" style="38" customWidth="1"/>
    <col min="4" max="4" width="11.33203125" style="39" customWidth="1"/>
    <col min="5" max="5" width="30.6640625" customWidth="1"/>
    <col min="6" max="6" width="23.6640625" customWidth="1"/>
  </cols>
  <sheetData>
    <row r="1" spans="1:7" ht="18">
      <c r="A1" s="40" t="s">
        <v>0</v>
      </c>
      <c r="B1" s="1"/>
      <c r="C1" s="546"/>
      <c r="D1" s="546"/>
      <c r="E1" s="546"/>
      <c r="F1" s="41" t="s">
        <v>152</v>
      </c>
    </row>
    <row r="2" spans="1:7">
      <c r="A2" s="42" t="s">
        <v>2</v>
      </c>
      <c r="B2" s="1"/>
      <c r="C2" s="43"/>
      <c r="D2" s="32"/>
      <c r="E2" s="1"/>
      <c r="F2" s="40"/>
    </row>
    <row r="3" spans="1:7">
      <c r="A3" s="547" t="s">
        <v>153</v>
      </c>
      <c r="B3" s="547"/>
      <c r="C3" s="547"/>
      <c r="D3" s="547"/>
      <c r="E3" s="547"/>
      <c r="F3" s="547"/>
    </row>
    <row r="4" spans="1:7">
      <c r="A4" s="547" t="str">
        <f>'rekap CBA 1'!D7</f>
        <v>Barang Pindah</v>
      </c>
      <c r="B4" s="547"/>
      <c r="C4" s="547"/>
      <c r="D4" s="547"/>
      <c r="E4" s="547"/>
      <c r="F4" s="547"/>
    </row>
    <row r="5" spans="1:7" ht="15.75">
      <c r="A5" s="547" t="str">
        <f>'rekap CBA 1'!D18</f>
        <v>16 September S/D 31 September 2026</v>
      </c>
      <c r="B5" s="547"/>
      <c r="C5" s="547"/>
      <c r="D5" s="547"/>
      <c r="E5" s="547"/>
      <c r="F5" s="547"/>
      <c r="G5" s="44"/>
    </row>
    <row r="6" spans="1:7">
      <c r="A6" s="32"/>
      <c r="B6" s="45"/>
      <c r="C6" s="45"/>
      <c r="D6" s="45"/>
      <c r="E6" s="45"/>
      <c r="F6" s="45"/>
    </row>
    <row r="7" spans="1:7">
      <c r="A7" s="551" t="s">
        <v>5</v>
      </c>
      <c r="B7" s="553" t="s">
        <v>154</v>
      </c>
      <c r="C7" s="555" t="s">
        <v>155</v>
      </c>
      <c r="D7" s="557" t="s">
        <v>156</v>
      </c>
      <c r="E7" s="46" t="s">
        <v>157</v>
      </c>
      <c r="F7" s="47" t="s">
        <v>40</v>
      </c>
    </row>
    <row r="8" spans="1:7">
      <c r="A8" s="552"/>
      <c r="B8" s="554"/>
      <c r="C8" s="556"/>
      <c r="D8" s="558"/>
      <c r="E8" s="48" t="s">
        <v>158</v>
      </c>
      <c r="F8" s="49" t="s">
        <v>158</v>
      </c>
    </row>
    <row r="9" spans="1:7">
      <c r="A9" s="50" t="s">
        <v>159</v>
      </c>
      <c r="B9" s="51" t="s">
        <v>160</v>
      </c>
      <c r="C9" s="548" t="s">
        <v>161</v>
      </c>
      <c r="D9" s="548"/>
      <c r="E9" s="52" t="s">
        <v>162</v>
      </c>
      <c r="F9" s="53"/>
    </row>
    <row r="10" spans="1:7">
      <c r="A10" s="54"/>
      <c r="B10" s="55"/>
      <c r="C10" s="56"/>
      <c r="D10" s="353" t="s">
        <v>311</v>
      </c>
      <c r="E10" s="58"/>
      <c r="F10" s="59">
        <f t="shared" ref="F10:F16" si="0">+C10*E10</f>
        <v>0</v>
      </c>
    </row>
    <row r="11" spans="1:7">
      <c r="A11" s="60"/>
      <c r="B11" s="61"/>
      <c r="C11" s="62"/>
      <c r="D11" s="354" t="s">
        <v>311</v>
      </c>
      <c r="E11" s="64"/>
      <c r="F11" s="65">
        <f t="shared" si="0"/>
        <v>0</v>
      </c>
    </row>
    <row r="12" spans="1:7">
      <c r="A12" s="60"/>
      <c r="B12" s="61"/>
      <c r="C12" s="62"/>
      <c r="D12" s="354" t="s">
        <v>311</v>
      </c>
      <c r="E12" s="64"/>
      <c r="F12" s="65">
        <f t="shared" si="0"/>
        <v>0</v>
      </c>
    </row>
    <row r="13" spans="1:7">
      <c r="A13" s="60"/>
      <c r="B13" s="61"/>
      <c r="C13" s="62"/>
      <c r="D13" s="354" t="s">
        <v>312</v>
      </c>
      <c r="E13" s="64"/>
      <c r="F13" s="65">
        <f t="shared" si="0"/>
        <v>0</v>
      </c>
    </row>
    <row r="14" spans="1:7">
      <c r="A14" s="60"/>
      <c r="B14" s="61"/>
      <c r="C14" s="62"/>
      <c r="D14" s="354"/>
      <c r="E14" s="64"/>
      <c r="F14" s="65">
        <f t="shared" si="0"/>
        <v>0</v>
      </c>
    </row>
    <row r="15" spans="1:7">
      <c r="A15" s="60"/>
      <c r="B15" s="61"/>
      <c r="C15" s="62"/>
      <c r="D15" s="63"/>
      <c r="E15" s="64"/>
      <c r="F15" s="65">
        <f t="shared" si="0"/>
        <v>0</v>
      </c>
    </row>
    <row r="16" spans="1:7">
      <c r="A16" s="60"/>
      <c r="B16" s="61"/>
      <c r="C16" s="62"/>
      <c r="D16" s="354"/>
      <c r="E16" s="64"/>
      <c r="F16" s="65">
        <f t="shared" si="0"/>
        <v>0</v>
      </c>
    </row>
    <row r="17" spans="1:6">
      <c r="A17" s="60"/>
      <c r="B17" s="66"/>
      <c r="C17" s="67"/>
      <c r="D17" s="68"/>
      <c r="E17" s="69"/>
      <c r="F17" s="70">
        <f>SUM(F10:F16)</f>
        <v>0</v>
      </c>
    </row>
    <row r="18" spans="1:6">
      <c r="A18" s="60" t="s">
        <v>163</v>
      </c>
      <c r="B18" s="51" t="s">
        <v>160</v>
      </c>
      <c r="C18" s="548" t="s">
        <v>164</v>
      </c>
      <c r="D18" s="548"/>
      <c r="E18" s="52" t="s">
        <v>106</v>
      </c>
      <c r="F18" s="53"/>
    </row>
    <row r="19" spans="1:6">
      <c r="A19" s="60"/>
      <c r="B19" s="55" t="s">
        <v>106</v>
      </c>
      <c r="C19" s="56"/>
      <c r="D19" s="71" t="s">
        <v>165</v>
      </c>
      <c r="E19" s="58"/>
      <c r="F19" s="59">
        <f>+C19*E19</f>
        <v>0</v>
      </c>
    </row>
    <row r="20" spans="1:6">
      <c r="A20" s="60"/>
      <c r="B20" s="61" t="s">
        <v>166</v>
      </c>
      <c r="C20" s="72"/>
      <c r="D20" s="73" t="s">
        <v>165</v>
      </c>
      <c r="E20" s="58"/>
      <c r="F20" s="65">
        <f>+C20*E20</f>
        <v>0</v>
      </c>
    </row>
    <row r="21" spans="1:6">
      <c r="A21" s="60"/>
      <c r="B21" s="61" t="s">
        <v>167</v>
      </c>
      <c r="C21" s="74"/>
      <c r="D21" s="75" t="s">
        <v>168</v>
      </c>
      <c r="E21" s="58"/>
      <c r="F21" s="65">
        <f>+C21*E21</f>
        <v>0</v>
      </c>
    </row>
    <row r="22" spans="1:6">
      <c r="A22" s="60"/>
      <c r="B22" s="61" t="s">
        <v>169</v>
      </c>
      <c r="C22" s="74"/>
      <c r="D22" s="75" t="s">
        <v>165</v>
      </c>
      <c r="E22" s="58"/>
      <c r="F22" s="65">
        <f>+C22*E22</f>
        <v>0</v>
      </c>
    </row>
    <row r="23" spans="1:6">
      <c r="A23" s="60"/>
      <c r="B23" s="61" t="s">
        <v>170</v>
      </c>
      <c r="C23" s="74"/>
      <c r="D23" s="75" t="s">
        <v>168</v>
      </c>
      <c r="E23" s="58"/>
      <c r="F23" s="76">
        <f>+C23*E23</f>
        <v>0</v>
      </c>
    </row>
    <row r="24" spans="1:6">
      <c r="A24" s="60"/>
      <c r="B24" s="77"/>
      <c r="C24" s="78"/>
      <c r="D24" s="79"/>
      <c r="E24" s="80"/>
      <c r="F24" s="81">
        <f>SUM(F19:F23)</f>
        <v>0</v>
      </c>
    </row>
    <row r="25" spans="1:6">
      <c r="A25" s="60"/>
      <c r="B25" s="82" t="s">
        <v>171</v>
      </c>
      <c r="C25" s="83"/>
      <c r="D25" s="84"/>
      <c r="E25" s="85"/>
      <c r="F25" s="81">
        <f>F17+F24</f>
        <v>0</v>
      </c>
    </row>
    <row r="26" spans="1:6">
      <c r="A26" s="86" t="s">
        <v>172</v>
      </c>
      <c r="B26" s="87" t="s">
        <v>173</v>
      </c>
      <c r="C26" s="548" t="s">
        <v>174</v>
      </c>
      <c r="D26" s="549"/>
      <c r="E26" s="88" t="s">
        <v>147</v>
      </c>
      <c r="F26" s="89"/>
    </row>
    <row r="27" spans="1:6">
      <c r="A27" s="60"/>
      <c r="B27" s="90" t="s">
        <v>147</v>
      </c>
      <c r="C27" s="91"/>
      <c r="D27" s="92"/>
      <c r="E27" s="58"/>
      <c r="F27" s="93"/>
    </row>
    <row r="28" spans="1:6">
      <c r="A28" s="60"/>
      <c r="B28" s="55" t="s">
        <v>175</v>
      </c>
      <c r="C28" s="56"/>
      <c r="D28" s="57"/>
      <c r="E28" s="58"/>
      <c r="F28" s="94">
        <f>+C28*E28</f>
        <v>0</v>
      </c>
    </row>
    <row r="29" spans="1:6">
      <c r="A29" s="60"/>
      <c r="B29" s="55" t="s">
        <v>176</v>
      </c>
      <c r="C29" s="56"/>
      <c r="D29" s="57"/>
      <c r="E29" s="58"/>
      <c r="F29" s="94">
        <f>+C29*E29</f>
        <v>0</v>
      </c>
    </row>
    <row r="30" spans="1:6">
      <c r="A30" s="60"/>
      <c r="B30" s="61" t="s">
        <v>177</v>
      </c>
      <c r="C30" s="56"/>
      <c r="D30" s="57"/>
      <c r="E30" s="58"/>
      <c r="F30" s="94">
        <f>+C30*E30</f>
        <v>0</v>
      </c>
    </row>
    <row r="31" spans="1:6">
      <c r="A31" s="60"/>
      <c r="B31" s="95"/>
      <c r="C31" s="96"/>
      <c r="D31" s="97"/>
      <c r="E31" s="98"/>
      <c r="F31" s="99">
        <f>SUM(F28:F30)</f>
        <v>0</v>
      </c>
    </row>
    <row r="32" spans="1:6">
      <c r="A32" s="60" t="s">
        <v>178</v>
      </c>
      <c r="B32" s="100" t="s">
        <v>179</v>
      </c>
      <c r="C32" s="548" t="s">
        <v>180</v>
      </c>
      <c r="D32" s="548"/>
      <c r="E32" s="101" t="s">
        <v>98</v>
      </c>
      <c r="F32" s="89"/>
    </row>
    <row r="33" spans="1:8">
      <c r="A33" s="60"/>
      <c r="B33" s="102" t="s">
        <v>181</v>
      </c>
      <c r="C33" s="103"/>
      <c r="D33" s="104"/>
      <c r="E33" s="105"/>
      <c r="F33" s="106"/>
    </row>
    <row r="34" spans="1:8">
      <c r="A34" s="60"/>
      <c r="B34" s="61" t="s">
        <v>182</v>
      </c>
      <c r="C34" s="74"/>
      <c r="D34" s="57"/>
      <c r="E34" s="58"/>
      <c r="F34" s="94">
        <f>+C34*E34</f>
        <v>0</v>
      </c>
    </row>
    <row r="35" spans="1:8">
      <c r="A35" s="60"/>
      <c r="B35" s="61" t="s">
        <v>183</v>
      </c>
      <c r="C35" s="74"/>
      <c r="D35" s="57"/>
      <c r="E35" s="58"/>
      <c r="F35" s="94">
        <f>+C35*E35</f>
        <v>0</v>
      </c>
    </row>
    <row r="36" spans="1:8">
      <c r="A36" s="60"/>
      <c r="B36" s="95"/>
      <c r="C36" s="96"/>
      <c r="D36" s="107"/>
      <c r="E36" s="108"/>
      <c r="F36" s="109">
        <f>SUM(F34:F35)</f>
        <v>0</v>
      </c>
    </row>
    <row r="37" spans="1:8">
      <c r="A37" s="60"/>
      <c r="B37" s="110" t="s">
        <v>184</v>
      </c>
      <c r="C37" s="111"/>
      <c r="D37" s="112"/>
      <c r="E37" s="113"/>
      <c r="F37" s="114"/>
    </row>
    <row r="38" spans="1:8">
      <c r="A38" s="115"/>
      <c r="B38" s="116"/>
      <c r="C38" s="117"/>
      <c r="D38" s="107"/>
      <c r="E38" s="108"/>
      <c r="F38" s="118"/>
    </row>
    <row r="39" spans="1:8">
      <c r="A39" s="119"/>
      <c r="B39" s="550" t="s">
        <v>185</v>
      </c>
      <c r="C39" s="550"/>
      <c r="D39" s="550"/>
      <c r="E39" s="550"/>
      <c r="F39" s="120">
        <f>F36+F31+F25+F17</f>
        <v>0</v>
      </c>
    </row>
    <row r="40" spans="1:8">
      <c r="A40" s="32"/>
      <c r="B40" s="1"/>
      <c r="C40" s="43"/>
      <c r="D40" s="121"/>
      <c r="E40" s="43"/>
      <c r="F40" s="122"/>
    </row>
    <row r="41" spans="1:8">
      <c r="B41" s="123"/>
      <c r="C41" s="124"/>
      <c r="D41" s="125"/>
      <c r="E41" s="123"/>
      <c r="F41" s="126" t="str">
        <f>'rekap CBA 1'!G59</f>
        <v>Batam, 17 September 2026</v>
      </c>
      <c r="G41" s="126"/>
      <c r="H41" s="126"/>
    </row>
    <row r="42" spans="1:8" s="1" customFormat="1">
      <c r="B42" s="33" t="s">
        <v>41</v>
      </c>
      <c r="D42" s="33" t="s">
        <v>44</v>
      </c>
      <c r="E42" s="127"/>
      <c r="F42" s="32" t="s">
        <v>45</v>
      </c>
      <c r="G42" s="128"/>
    </row>
    <row r="43" spans="1:8" s="1" customFormat="1">
      <c r="B43" s="33" t="s">
        <v>186</v>
      </c>
      <c r="D43" s="33" t="s">
        <v>50</v>
      </c>
      <c r="E43" s="33"/>
      <c r="F43" s="32" t="s">
        <v>51</v>
      </c>
      <c r="G43" s="128"/>
    </row>
    <row r="44" spans="1:8" s="1" customFormat="1">
      <c r="B44" s="32"/>
      <c r="D44" s="32"/>
      <c r="F44" s="32"/>
    </row>
    <row r="45" spans="1:8" s="1" customFormat="1">
      <c r="B45" s="32"/>
      <c r="D45" s="32"/>
      <c r="F45" s="32"/>
    </row>
    <row r="46" spans="1:8" s="1" customFormat="1">
      <c r="B46" s="32"/>
      <c r="D46" s="32"/>
      <c r="F46" s="32"/>
    </row>
    <row r="47" spans="1:8" s="1" customFormat="1">
      <c r="B47" s="129" t="s">
        <v>127</v>
      </c>
      <c r="D47" s="129" t="s">
        <v>128</v>
      </c>
      <c r="F47" s="32" t="s">
        <v>129</v>
      </c>
    </row>
    <row r="48" spans="1:8" s="1" customFormat="1">
      <c r="B48" s="129" t="s">
        <v>54</v>
      </c>
      <c r="D48" s="130" t="s">
        <v>130</v>
      </c>
      <c r="F48" s="32" t="s">
        <v>131</v>
      </c>
    </row>
    <row r="49" spans="2:6" s="1" customFormat="1">
      <c r="D49" s="32"/>
      <c r="F49" s="32"/>
    </row>
    <row r="50" spans="2:6" s="1" customFormat="1">
      <c r="B50" s="32" t="s">
        <v>42</v>
      </c>
      <c r="D50" s="32" t="s">
        <v>43</v>
      </c>
      <c r="F50" s="32" t="s">
        <v>43</v>
      </c>
    </row>
    <row r="51" spans="2:6" s="1" customFormat="1">
      <c r="B51" s="32" t="s">
        <v>47</v>
      </c>
      <c r="D51" s="32" t="s">
        <v>48</v>
      </c>
      <c r="F51" s="32" t="s">
        <v>49</v>
      </c>
    </row>
    <row r="52" spans="2:6" s="1" customFormat="1">
      <c r="B52" s="32"/>
      <c r="D52" s="32"/>
      <c r="F52" s="32"/>
    </row>
    <row r="53" spans="2:6" s="1" customFormat="1">
      <c r="B53" s="32"/>
      <c r="D53" s="32"/>
      <c r="F53" s="32"/>
    </row>
    <row r="54" spans="2:6" s="1" customFormat="1">
      <c r="B54" s="32"/>
      <c r="D54" s="32"/>
      <c r="F54" s="32"/>
    </row>
    <row r="55" spans="2:6" s="1" customFormat="1">
      <c r="B55" s="131" t="s">
        <v>53</v>
      </c>
      <c r="D55" s="32"/>
      <c r="F55" s="32"/>
    </row>
    <row r="56" spans="2:6" s="1" customFormat="1">
      <c r="B56" s="129" t="s">
        <v>55</v>
      </c>
      <c r="D56" s="32"/>
      <c r="F56" s="32"/>
    </row>
    <row r="57" spans="2:6">
      <c r="B57" s="132"/>
      <c r="C57" s="133"/>
      <c r="E57" s="134"/>
      <c r="F57" s="132"/>
    </row>
    <row r="71" spans="6:6">
      <c r="F71" s="135"/>
    </row>
    <row r="72" spans="6:6">
      <c r="F72" s="135"/>
    </row>
  </sheetData>
  <mergeCells count="13">
    <mergeCell ref="C18:D18"/>
    <mergeCell ref="C26:D26"/>
    <mergeCell ref="C32:D32"/>
    <mergeCell ref="B39:E39"/>
    <mergeCell ref="A7:A8"/>
    <mergeCell ref="B7:B8"/>
    <mergeCell ref="C7:C8"/>
    <mergeCell ref="D7:D8"/>
    <mergeCell ref="C1:E1"/>
    <mergeCell ref="A3:F3"/>
    <mergeCell ref="A4:F4"/>
    <mergeCell ref="A5:F5"/>
    <mergeCell ref="C9:D9"/>
  </mergeCells>
  <pageMargins left="0.7" right="0.7" top="1" bottom="1" header="0.3" footer="0.3"/>
  <pageSetup paperSize="9" scale="75"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AA74"/>
  <sheetViews>
    <sheetView topLeftCell="A17" zoomScale="70" zoomScaleNormal="70" workbookViewId="0">
      <selection activeCell="B56" sqref="B56:H56"/>
    </sheetView>
  </sheetViews>
  <sheetFormatPr defaultColWidth="9" defaultRowHeight="14.25"/>
  <cols>
    <col min="1" max="1" width="9" style="1"/>
    <col min="2" max="2" width="42.796875" style="1" customWidth="1"/>
    <col min="3" max="3" width="3.46484375" style="1" customWidth="1"/>
    <col min="4" max="4" width="27.19921875" style="1" customWidth="1"/>
    <col min="5" max="5" width="5" style="1" customWidth="1"/>
    <col min="6" max="6" width="26.796875" style="1" customWidth="1"/>
    <col min="7" max="7" width="4.53125" style="1" customWidth="1"/>
    <col min="8" max="8" width="49.796875" style="1" customWidth="1"/>
    <col min="9" max="12" width="9" style="1"/>
    <col min="13" max="13" width="4" style="1" customWidth="1"/>
    <col min="14" max="14" width="13.33203125" style="1" customWidth="1"/>
    <col min="15" max="15" width="9" style="1"/>
    <col min="16" max="16" width="5.46484375" style="1" customWidth="1"/>
    <col min="17" max="17" width="32.33203125" style="1" customWidth="1"/>
    <col min="18" max="18" width="9.53125" style="1" customWidth="1"/>
    <col min="19" max="22" width="11.19921875" style="1" customWidth="1"/>
    <col min="23" max="24" width="13.19921875" style="1" customWidth="1"/>
    <col min="25" max="25" width="11.796875" style="1" customWidth="1"/>
    <col min="26" max="26" width="10.6640625" style="1" customWidth="1"/>
    <col min="27" max="16384" width="9" style="1"/>
  </cols>
  <sheetData>
    <row r="2" spans="2:27" ht="69" customHeight="1">
      <c r="B2" s="377" t="s">
        <v>187</v>
      </c>
      <c r="C2" s="378"/>
      <c r="D2" s="378"/>
      <c r="E2" s="378"/>
      <c r="F2" s="378"/>
      <c r="G2" s="378"/>
      <c r="H2" s="379"/>
    </row>
    <row r="3" spans="2:27">
      <c r="B3" s="473" t="s">
        <v>188</v>
      </c>
      <c r="C3" s="477" t="s">
        <v>189</v>
      </c>
      <c r="D3" s="483" t="s">
        <v>376</v>
      </c>
      <c r="E3" s="484"/>
      <c r="F3" s="484"/>
      <c r="G3" s="484"/>
      <c r="H3" s="485"/>
      <c r="Q3" s="380"/>
      <c r="R3" s="380"/>
      <c r="S3" s="357"/>
      <c r="T3" s="357"/>
      <c r="U3" s="357"/>
      <c r="V3" s="357"/>
      <c r="W3" s="357"/>
      <c r="X3" s="357"/>
      <c r="Y3" s="357"/>
      <c r="Z3" s="357"/>
      <c r="AA3" s="356"/>
    </row>
    <row r="4" spans="2:27">
      <c r="B4" s="474"/>
      <c r="C4" s="478"/>
      <c r="D4" s="486"/>
      <c r="E4" s="487"/>
      <c r="F4" s="487"/>
      <c r="G4" s="487"/>
      <c r="H4" s="488"/>
      <c r="N4" s="29"/>
      <c r="O4" s="30"/>
      <c r="Q4" s="380"/>
      <c r="R4" s="380"/>
      <c r="S4" s="456"/>
      <c r="T4" s="456"/>
      <c r="U4" s="456"/>
      <c r="V4" s="456"/>
      <c r="W4" s="456"/>
      <c r="X4" s="456"/>
      <c r="Y4" s="358"/>
      <c r="Z4" s="358"/>
    </row>
    <row r="5" spans="2:27">
      <c r="B5" s="2" t="s">
        <v>190</v>
      </c>
      <c r="C5" s="3"/>
      <c r="D5" s="381"/>
      <c r="E5" s="382"/>
      <c r="F5" s="382"/>
      <c r="G5" s="382"/>
      <c r="H5" s="383"/>
      <c r="Q5" s="380"/>
      <c r="R5" s="380"/>
      <c r="S5" s="456"/>
      <c r="T5" s="456"/>
      <c r="U5" s="456"/>
      <c r="V5" s="456"/>
      <c r="W5" s="456"/>
      <c r="X5" s="456"/>
      <c r="Y5" s="34"/>
      <c r="Z5" s="359"/>
    </row>
    <row r="6" spans="2:27">
      <c r="B6" s="384" t="s">
        <v>191</v>
      </c>
      <c r="C6" s="385"/>
      <c r="D6" s="386"/>
      <c r="E6" s="4"/>
      <c r="F6" s="387" t="s">
        <v>192</v>
      </c>
      <c r="G6" s="387"/>
      <c r="H6" s="388"/>
      <c r="Q6" s="360"/>
      <c r="R6" s="360"/>
      <c r="S6" s="360"/>
      <c r="T6" s="361"/>
      <c r="U6" s="361"/>
      <c r="V6" s="361"/>
      <c r="W6" s="361"/>
      <c r="X6" s="361"/>
      <c r="Y6" s="36"/>
      <c r="Z6" s="36"/>
    </row>
    <row r="7" spans="2:27">
      <c r="B7" s="389" t="s">
        <v>375</v>
      </c>
      <c r="C7" s="390"/>
      <c r="D7" s="390"/>
      <c r="E7" s="480"/>
      <c r="F7" s="391" t="s">
        <v>380</v>
      </c>
      <c r="G7" s="391"/>
      <c r="H7" s="392"/>
      <c r="Q7" s="360"/>
      <c r="R7" s="360"/>
      <c r="S7" s="360"/>
      <c r="T7" s="361"/>
      <c r="U7" s="361"/>
      <c r="V7" s="361"/>
      <c r="W7" s="361"/>
      <c r="X7" s="361"/>
      <c r="Y7" s="36"/>
      <c r="Z7" s="36"/>
    </row>
    <row r="8" spans="2:27">
      <c r="B8" s="393" t="s">
        <v>193</v>
      </c>
      <c r="C8" s="394"/>
      <c r="D8" s="395"/>
      <c r="E8" s="480"/>
      <c r="F8" s="394" t="s">
        <v>194</v>
      </c>
      <c r="G8" s="394"/>
      <c r="H8" s="396"/>
      <c r="Q8" s="360"/>
      <c r="R8" s="360"/>
      <c r="S8" s="360"/>
      <c r="T8" s="361"/>
      <c r="U8" s="361"/>
      <c r="V8" s="361"/>
      <c r="W8" s="361"/>
      <c r="X8" s="361"/>
      <c r="Y8" s="36"/>
      <c r="Z8" s="36"/>
    </row>
    <row r="9" spans="2:27">
      <c r="B9" s="375" t="s">
        <v>377</v>
      </c>
      <c r="C9" s="397"/>
      <c r="D9" s="397"/>
      <c r="E9" s="480"/>
      <c r="F9" s="391" t="s">
        <v>195</v>
      </c>
      <c r="G9" s="391"/>
      <c r="H9" s="392"/>
      <c r="Q9" s="360"/>
      <c r="R9" s="360"/>
      <c r="S9" s="360"/>
      <c r="T9" s="361"/>
      <c r="U9" s="361"/>
      <c r="V9" s="361"/>
      <c r="W9" s="361"/>
      <c r="X9" s="361"/>
      <c r="Y9" s="36"/>
      <c r="Z9" s="36"/>
    </row>
    <row r="10" spans="2:27">
      <c r="B10" s="398" t="s">
        <v>196</v>
      </c>
      <c r="C10" s="399"/>
      <c r="D10" s="400"/>
      <c r="E10" s="480"/>
      <c r="F10" s="394" t="s">
        <v>197</v>
      </c>
      <c r="G10" s="394"/>
      <c r="H10" s="396"/>
      <c r="Q10" s="360"/>
      <c r="R10" s="360"/>
      <c r="S10" s="360"/>
      <c r="T10" s="361"/>
      <c r="U10" s="361"/>
      <c r="V10" s="361"/>
      <c r="W10" s="361"/>
      <c r="X10" s="361"/>
      <c r="Y10" s="36"/>
      <c r="Z10" s="36"/>
    </row>
    <row r="11" spans="2:27" ht="32.25" customHeight="1">
      <c r="B11" s="375" t="s">
        <v>318</v>
      </c>
      <c r="C11" s="376"/>
      <c r="D11" s="376"/>
      <c r="E11" s="480"/>
      <c r="F11" s="391" t="s">
        <v>319</v>
      </c>
      <c r="G11" s="391"/>
      <c r="H11" s="392"/>
      <c r="N11" s="31"/>
      <c r="Q11" s="360"/>
      <c r="R11" s="360"/>
      <c r="S11" s="360"/>
      <c r="T11" s="361"/>
      <c r="U11" s="361"/>
      <c r="V11" s="361"/>
      <c r="W11" s="361"/>
      <c r="X11" s="361"/>
      <c r="Y11" s="36"/>
      <c r="Z11" s="36"/>
    </row>
    <row r="12" spans="2:27">
      <c r="B12" s="398" t="s">
        <v>198</v>
      </c>
      <c r="C12" s="399"/>
      <c r="D12" s="400"/>
      <c r="E12" s="480"/>
      <c r="F12" s="401" t="s">
        <v>199</v>
      </c>
      <c r="G12" s="402"/>
      <c r="H12" s="403"/>
      <c r="Q12" s="360"/>
      <c r="R12" s="360"/>
      <c r="S12" s="360"/>
      <c r="T12" s="361"/>
      <c r="U12" s="361"/>
      <c r="V12" s="361"/>
      <c r="W12" s="361"/>
      <c r="X12" s="361"/>
      <c r="Y12" s="36"/>
      <c r="Z12" s="36"/>
    </row>
    <row r="13" spans="2:27">
      <c r="B13" s="404" t="s">
        <v>378</v>
      </c>
      <c r="C13" s="405"/>
      <c r="D13" s="406"/>
      <c r="E13" s="480"/>
      <c r="F13" s="489"/>
      <c r="G13" s="490"/>
      <c r="H13" s="491"/>
      <c r="Q13" s="36"/>
      <c r="R13" s="36"/>
      <c r="S13" s="36"/>
      <c r="T13" s="36"/>
      <c r="U13" s="36"/>
      <c r="V13" s="36"/>
      <c r="W13" s="36"/>
      <c r="X13" s="36"/>
      <c r="Y13" s="36"/>
      <c r="Z13" s="36"/>
    </row>
    <row r="14" spans="2:27">
      <c r="B14" s="407" t="s">
        <v>200</v>
      </c>
      <c r="C14" s="408"/>
      <c r="D14" s="408"/>
      <c r="E14" s="480"/>
      <c r="F14" s="492"/>
      <c r="G14" s="493"/>
      <c r="H14" s="494"/>
      <c r="W14" s="355"/>
    </row>
    <row r="15" spans="2:27">
      <c r="B15" s="409" t="s">
        <v>379</v>
      </c>
      <c r="C15" s="410"/>
      <c r="D15" s="410"/>
      <c r="E15" s="480"/>
      <c r="F15" s="492"/>
      <c r="G15" s="493"/>
      <c r="H15" s="494"/>
    </row>
    <row r="16" spans="2:27" ht="18.75" customHeight="1">
      <c r="B16" s="387" t="s">
        <v>201</v>
      </c>
      <c r="C16" s="387"/>
      <c r="D16" s="387"/>
      <c r="E16" s="480"/>
      <c r="F16" s="492"/>
      <c r="G16" s="493"/>
      <c r="H16" s="494"/>
    </row>
    <row r="17" spans="2:14" ht="258" customHeight="1">
      <c r="B17" s="415" t="s">
        <v>381</v>
      </c>
      <c r="C17" s="416"/>
      <c r="D17" s="417"/>
      <c r="E17" s="481"/>
      <c r="F17" s="495"/>
      <c r="G17" s="496"/>
      <c r="H17" s="497"/>
      <c r="L17" s="31"/>
      <c r="M17" s="31"/>
      <c r="N17" s="31"/>
    </row>
    <row r="18" spans="2:14">
      <c r="B18" s="411" t="s">
        <v>202</v>
      </c>
      <c r="C18" s="412"/>
      <c r="D18" s="412"/>
      <c r="E18" s="413"/>
      <c r="F18" s="412"/>
      <c r="G18" s="412"/>
      <c r="H18" s="414"/>
    </row>
    <row r="19" spans="2:14" ht="19.05" customHeight="1">
      <c r="B19" s="8" t="s">
        <v>203</v>
      </c>
      <c r="C19" s="9" t="s">
        <v>189</v>
      </c>
      <c r="D19" s="10" t="s">
        <v>204</v>
      </c>
      <c r="E19" s="11"/>
      <c r="F19" s="9" t="s">
        <v>205</v>
      </c>
      <c r="G19" s="5"/>
      <c r="H19" s="12"/>
    </row>
    <row r="20" spans="2:14">
      <c r="B20" s="8" t="s">
        <v>257</v>
      </c>
      <c r="C20" s="9" t="s">
        <v>189</v>
      </c>
      <c r="D20" s="375" t="s">
        <v>318</v>
      </c>
      <c r="E20" s="376"/>
      <c r="F20" s="376"/>
      <c r="G20" s="5"/>
      <c r="H20" s="15" t="s">
        <v>206</v>
      </c>
    </row>
    <row r="21" spans="2:14" ht="19.05" customHeight="1">
      <c r="B21" s="8" t="s">
        <v>207</v>
      </c>
      <c r="C21" s="9" t="s">
        <v>189</v>
      </c>
      <c r="D21" s="10" t="s">
        <v>208</v>
      </c>
      <c r="E21" s="11"/>
      <c r="F21" s="9" t="s">
        <v>209</v>
      </c>
      <c r="G21" s="5"/>
      <c r="H21" s="12" t="s">
        <v>313</v>
      </c>
    </row>
    <row r="22" spans="2:14" ht="52.5">
      <c r="B22" s="8" t="s">
        <v>322</v>
      </c>
      <c r="C22" s="9" t="s">
        <v>189</v>
      </c>
      <c r="D22" s="13" t="s">
        <v>320</v>
      </c>
      <c r="E22" s="16"/>
      <c r="F22" s="14">
        <v>1</v>
      </c>
      <c r="G22" s="17"/>
      <c r="H22" s="18" t="s">
        <v>313</v>
      </c>
    </row>
    <row r="23" spans="2:14" ht="28.5">
      <c r="B23" s="8" t="s">
        <v>210</v>
      </c>
      <c r="C23" s="9" t="s">
        <v>189</v>
      </c>
      <c r="D23" s="418" t="s">
        <v>278</v>
      </c>
      <c r="E23" s="418"/>
      <c r="F23" s="418"/>
      <c r="G23" s="418"/>
      <c r="H23" s="419"/>
      <c r="I23" s="32"/>
      <c r="J23" s="32"/>
    </row>
    <row r="24" spans="2:14">
      <c r="B24" s="8" t="s">
        <v>211</v>
      </c>
      <c r="C24" s="9" t="s">
        <v>189</v>
      </c>
      <c r="D24" s="418" t="s">
        <v>258</v>
      </c>
      <c r="E24" s="418"/>
      <c r="F24" s="418"/>
      <c r="G24" s="418"/>
      <c r="H24" s="419"/>
      <c r="I24" s="32"/>
      <c r="J24" s="32"/>
    </row>
    <row r="25" spans="2:14">
      <c r="B25" s="8" t="s">
        <v>212</v>
      </c>
      <c r="C25" s="9" t="s">
        <v>189</v>
      </c>
      <c r="D25" s="420" t="s">
        <v>261</v>
      </c>
      <c r="E25" s="391"/>
      <c r="F25" s="391"/>
      <c r="G25" s="391"/>
      <c r="H25" s="392"/>
      <c r="I25" s="32"/>
      <c r="J25" s="32"/>
    </row>
    <row r="26" spans="2:14">
      <c r="B26" s="19" t="s">
        <v>213</v>
      </c>
      <c r="C26" s="9" t="s">
        <v>189</v>
      </c>
      <c r="D26" s="421" t="s">
        <v>214</v>
      </c>
      <c r="E26" s="422"/>
      <c r="F26" s="422"/>
      <c r="G26" s="422"/>
      <c r="H26" s="423"/>
      <c r="I26" s="32"/>
      <c r="J26" s="32"/>
    </row>
    <row r="27" spans="2:14">
      <c r="B27" s="20" t="s">
        <v>215</v>
      </c>
      <c r="C27" s="9" t="s">
        <v>189</v>
      </c>
      <c r="D27" s="424" t="s">
        <v>382</v>
      </c>
      <c r="E27" s="424"/>
      <c r="F27" s="21" t="s">
        <v>216</v>
      </c>
      <c r="G27" s="22" t="s">
        <v>217</v>
      </c>
      <c r="H27" s="482" t="s">
        <v>382</v>
      </c>
      <c r="I27" s="32"/>
      <c r="J27" s="32"/>
    </row>
    <row r="28" spans="2:14">
      <c r="B28" s="20" t="s">
        <v>218</v>
      </c>
      <c r="C28" s="9" t="s">
        <v>189</v>
      </c>
      <c r="D28" s="425" t="s">
        <v>317</v>
      </c>
      <c r="E28" s="426"/>
      <c r="F28" s="426"/>
      <c r="G28" s="420"/>
      <c r="H28" s="482"/>
      <c r="I28" s="33"/>
      <c r="J28" s="32"/>
    </row>
    <row r="29" spans="2:14">
      <c r="B29" s="20" t="s">
        <v>219</v>
      </c>
      <c r="C29" s="9" t="s">
        <v>189</v>
      </c>
      <c r="D29" s="427" t="s">
        <v>383</v>
      </c>
      <c r="E29" s="428"/>
      <c r="F29" s="428"/>
      <c r="G29" s="428"/>
      <c r="H29" s="429"/>
      <c r="I29" s="32"/>
      <c r="J29" s="32"/>
    </row>
    <row r="30" spans="2:14">
      <c r="B30" s="20" t="s">
        <v>220</v>
      </c>
      <c r="C30" s="9" t="s">
        <v>189</v>
      </c>
      <c r="D30" s="425" t="s">
        <v>314</v>
      </c>
      <c r="E30" s="426"/>
      <c r="F30" s="426"/>
      <c r="G30" s="426"/>
      <c r="H30" s="430"/>
      <c r="I30" s="32"/>
      <c r="J30" s="32"/>
    </row>
    <row r="31" spans="2:14">
      <c r="B31" s="20" t="s">
        <v>221</v>
      </c>
      <c r="C31" s="9" t="s">
        <v>189</v>
      </c>
      <c r="D31" s="425" t="s">
        <v>222</v>
      </c>
      <c r="E31" s="426"/>
      <c r="F31" s="426"/>
      <c r="G31" s="426"/>
      <c r="H31" s="430"/>
      <c r="I31" s="32"/>
      <c r="J31" s="32"/>
    </row>
    <row r="32" spans="2:14">
      <c r="B32" s="20" t="s">
        <v>223</v>
      </c>
      <c r="C32" s="9" t="s">
        <v>189</v>
      </c>
      <c r="D32" s="421" t="s">
        <v>222</v>
      </c>
      <c r="E32" s="422"/>
      <c r="F32" s="422"/>
      <c r="G32" s="422"/>
      <c r="H32" s="423"/>
      <c r="I32" s="32"/>
      <c r="J32" s="32"/>
    </row>
    <row r="33" spans="2:10">
      <c r="B33" s="23" t="s">
        <v>224</v>
      </c>
      <c r="C33" s="24" t="s">
        <v>189</v>
      </c>
      <c r="D33" s="569" t="s">
        <v>384</v>
      </c>
      <c r="E33" s="431"/>
      <c r="F33" s="431"/>
      <c r="G33" s="431"/>
      <c r="H33" s="432"/>
      <c r="I33" s="32"/>
      <c r="J33" s="32"/>
    </row>
    <row r="34" spans="2:10">
      <c r="B34" s="411" t="s">
        <v>225</v>
      </c>
      <c r="C34" s="412"/>
      <c r="D34" s="412"/>
      <c r="E34" s="412"/>
      <c r="F34" s="412"/>
      <c r="G34" s="412"/>
      <c r="H34" s="414"/>
    </row>
    <row r="35" spans="2:10" ht="28.05" customHeight="1">
      <c r="B35" s="475" t="s">
        <v>226</v>
      </c>
      <c r="C35" s="25" t="s">
        <v>189</v>
      </c>
      <c r="D35" s="391" t="s">
        <v>227</v>
      </c>
      <c r="E35" s="391"/>
      <c r="F35" s="391"/>
      <c r="G35" s="391"/>
      <c r="H35" s="392"/>
    </row>
    <row r="36" spans="2:10" ht="26" customHeight="1">
      <c r="B36" s="476"/>
      <c r="C36" s="479" t="s">
        <v>189</v>
      </c>
      <c r="D36" s="391" t="s">
        <v>228</v>
      </c>
      <c r="E36" s="391"/>
      <c r="F36" s="391"/>
      <c r="G36" s="391"/>
      <c r="H36" s="392"/>
    </row>
    <row r="37" spans="2:10">
      <c r="B37" s="476"/>
      <c r="C37" s="479"/>
      <c r="D37" s="391" t="s">
        <v>229</v>
      </c>
      <c r="E37" s="391"/>
      <c r="F37" s="391"/>
      <c r="G37" s="391"/>
      <c r="H37" s="392"/>
    </row>
    <row r="38" spans="2:10">
      <c r="B38" s="476"/>
      <c r="C38" s="479"/>
      <c r="D38" s="391" t="s">
        <v>230</v>
      </c>
      <c r="E38" s="391"/>
      <c r="F38" s="391"/>
      <c r="G38" s="391"/>
      <c r="H38" s="392"/>
    </row>
    <row r="39" spans="2:10">
      <c r="B39" s="476"/>
      <c r="C39" s="479"/>
      <c r="D39" s="391" t="s">
        <v>231</v>
      </c>
      <c r="E39" s="391"/>
      <c r="F39" s="391"/>
      <c r="G39" s="391"/>
      <c r="H39" s="392"/>
    </row>
    <row r="40" spans="2:10">
      <c r="B40" s="476"/>
      <c r="C40" s="479"/>
      <c r="D40" s="391" t="s">
        <v>232</v>
      </c>
      <c r="E40" s="391"/>
      <c r="F40" s="391"/>
      <c r="G40" s="391"/>
      <c r="H40" s="392"/>
    </row>
    <row r="41" spans="2:10">
      <c r="B41" s="474"/>
      <c r="C41" s="479"/>
      <c r="D41" s="391" t="s">
        <v>233</v>
      </c>
      <c r="E41" s="391"/>
      <c r="F41" s="391"/>
      <c r="G41" s="391"/>
      <c r="H41" s="392"/>
    </row>
    <row r="42" spans="2:10">
      <c r="B42" s="26" t="s">
        <v>234</v>
      </c>
      <c r="C42" s="25" t="s">
        <v>189</v>
      </c>
      <c r="D42" s="433" t="s">
        <v>262</v>
      </c>
      <c r="E42" s="434"/>
      <c r="F42" s="434"/>
      <c r="G42" s="434"/>
      <c r="H42" s="435"/>
    </row>
    <row r="43" spans="2:10">
      <c r="B43" s="26" t="s">
        <v>235</v>
      </c>
      <c r="C43" s="25" t="s">
        <v>189</v>
      </c>
      <c r="D43" s="436" t="s">
        <v>264</v>
      </c>
      <c r="E43" s="437"/>
      <c r="F43" s="437"/>
      <c r="G43" s="437"/>
      <c r="H43" s="438"/>
    </row>
    <row r="44" spans="2:10">
      <c r="B44" s="6" t="s">
        <v>236</v>
      </c>
      <c r="C44" s="27" t="s">
        <v>189</v>
      </c>
      <c r="D44" s="439" t="s">
        <v>265</v>
      </c>
      <c r="E44" s="440"/>
      <c r="F44" s="440"/>
      <c r="G44" s="440"/>
      <c r="H44" s="441"/>
    </row>
    <row r="45" spans="2:10" ht="20" customHeight="1">
      <c r="B45" s="6" t="s">
        <v>237</v>
      </c>
      <c r="C45" s="27" t="s">
        <v>189</v>
      </c>
      <c r="D45" s="442" t="s">
        <v>262</v>
      </c>
      <c r="E45" s="443"/>
      <c r="F45" s="443"/>
      <c r="G45" s="443"/>
      <c r="H45" s="444"/>
    </row>
    <row r="46" spans="2:10">
      <c r="B46" s="411" t="s">
        <v>238</v>
      </c>
      <c r="C46" s="412"/>
      <c r="D46" s="413"/>
      <c r="E46" s="413"/>
      <c r="F46" s="413"/>
      <c r="G46" s="413"/>
      <c r="H46" s="445"/>
    </row>
    <row r="47" spans="2:10">
      <c r="B47" s="446" t="s">
        <v>260</v>
      </c>
      <c r="C47" s="426"/>
      <c r="D47" s="426"/>
      <c r="E47" s="426"/>
      <c r="F47" s="426"/>
      <c r="G47" s="426"/>
      <c r="H47" s="430"/>
    </row>
    <row r="48" spans="2:10">
      <c r="B48" s="446" t="s">
        <v>239</v>
      </c>
      <c r="C48" s="426"/>
      <c r="D48" s="426"/>
      <c r="E48" s="426"/>
      <c r="F48" s="426"/>
      <c r="G48" s="426"/>
      <c r="H48" s="430"/>
    </row>
    <row r="49" spans="2:8">
      <c r="B49" s="446" t="s">
        <v>240</v>
      </c>
      <c r="C49" s="426"/>
      <c r="D49" s="426"/>
      <c r="E49" s="426"/>
      <c r="F49" s="426"/>
      <c r="G49" s="426"/>
      <c r="H49" s="430"/>
    </row>
    <row r="50" spans="2:8">
      <c r="B50" s="447" t="s">
        <v>241</v>
      </c>
      <c r="C50" s="448"/>
      <c r="D50" s="448"/>
      <c r="E50" s="448"/>
      <c r="F50" s="448"/>
      <c r="G50" s="448"/>
      <c r="H50" s="449"/>
    </row>
    <row r="51" spans="2:8">
      <c r="B51" s="450" t="s">
        <v>259</v>
      </c>
      <c r="C51" s="431"/>
      <c r="D51" s="431"/>
      <c r="E51" s="431"/>
      <c r="F51" s="431"/>
      <c r="G51" s="431"/>
      <c r="H51" s="432"/>
    </row>
    <row r="52" spans="2:8">
      <c r="B52" s="451" t="s">
        <v>263</v>
      </c>
      <c r="C52" s="431"/>
      <c r="D52" s="431"/>
      <c r="E52" s="431"/>
      <c r="F52" s="431"/>
      <c r="G52" s="431"/>
      <c r="H52" s="432"/>
    </row>
    <row r="53" spans="2:8">
      <c r="B53" s="411" t="s">
        <v>242</v>
      </c>
      <c r="C53" s="412"/>
      <c r="D53" s="412"/>
      <c r="E53" s="412"/>
      <c r="F53" s="412"/>
      <c r="G53" s="412"/>
      <c r="H53" s="414"/>
    </row>
    <row r="54" spans="2:8">
      <c r="B54" s="452" t="s">
        <v>243</v>
      </c>
      <c r="C54" s="453"/>
      <c r="D54" s="453"/>
      <c r="E54" s="28"/>
      <c r="F54" s="453" t="s">
        <v>244</v>
      </c>
      <c r="G54" s="453"/>
      <c r="H54" s="454"/>
    </row>
    <row r="55" spans="2:8">
      <c r="B55" s="455">
        <v>46282</v>
      </c>
      <c r="C55" s="456"/>
      <c r="D55" s="456"/>
      <c r="E55" s="7"/>
      <c r="F55" s="455">
        <v>46302</v>
      </c>
      <c r="G55" s="456"/>
      <c r="H55" s="456"/>
    </row>
    <row r="56" spans="2:8">
      <c r="B56" s="411" t="s">
        <v>245</v>
      </c>
      <c r="C56" s="412"/>
      <c r="D56" s="412"/>
      <c r="E56" s="412"/>
      <c r="F56" s="412"/>
      <c r="G56" s="412"/>
      <c r="H56" s="414"/>
    </row>
    <row r="57" spans="2:8">
      <c r="B57" s="457" t="s">
        <v>246</v>
      </c>
      <c r="C57" s="458"/>
      <c r="D57" s="458"/>
      <c r="E57" s="458"/>
      <c r="F57" s="458"/>
      <c r="G57" s="458"/>
      <c r="H57" s="459"/>
    </row>
    <row r="58" spans="2:8">
      <c r="B58" s="457" t="s">
        <v>247</v>
      </c>
      <c r="C58" s="458"/>
      <c r="D58" s="458"/>
      <c r="E58" s="458"/>
      <c r="F58" s="458"/>
      <c r="G58" s="458"/>
      <c r="H58" s="459"/>
    </row>
    <row r="59" spans="2:8">
      <c r="B59" s="457" t="s">
        <v>248</v>
      </c>
      <c r="C59" s="458"/>
      <c r="D59" s="458"/>
      <c r="E59" s="458"/>
      <c r="F59" s="458"/>
      <c r="G59" s="458"/>
      <c r="H59" s="459"/>
    </row>
    <row r="60" spans="2:8">
      <c r="B60" s="457" t="s">
        <v>255</v>
      </c>
      <c r="C60" s="458"/>
      <c r="D60" s="458"/>
      <c r="E60" s="458"/>
      <c r="F60" s="458"/>
      <c r="G60" s="458"/>
      <c r="H60" s="459"/>
    </row>
    <row r="61" spans="2:8">
      <c r="B61" s="457" t="s">
        <v>249</v>
      </c>
      <c r="C61" s="458"/>
      <c r="D61" s="458"/>
      <c r="E61" s="458"/>
      <c r="F61" s="458"/>
      <c r="G61" s="458"/>
      <c r="H61" s="459"/>
    </row>
    <row r="62" spans="2:8">
      <c r="B62" s="457" t="s">
        <v>250</v>
      </c>
      <c r="C62" s="458"/>
      <c r="D62" s="458"/>
      <c r="E62" s="458"/>
      <c r="F62" s="458"/>
      <c r="G62" s="458"/>
      <c r="H62" s="459"/>
    </row>
    <row r="63" spans="2:8">
      <c r="B63" s="457" t="s">
        <v>251</v>
      </c>
      <c r="C63" s="458"/>
      <c r="D63" s="458"/>
      <c r="E63" s="458"/>
      <c r="F63" s="458"/>
      <c r="G63" s="458"/>
      <c r="H63" s="459"/>
    </row>
    <row r="64" spans="2:8">
      <c r="B64" s="460" t="s">
        <v>252</v>
      </c>
      <c r="C64" s="461"/>
      <c r="D64" s="461"/>
      <c r="E64" s="461"/>
      <c r="F64" s="461"/>
      <c r="G64" s="461"/>
      <c r="H64" s="462"/>
    </row>
    <row r="65" spans="2:9" ht="15" customHeight="1">
      <c r="B65" s="463" t="s">
        <v>253</v>
      </c>
      <c r="C65" s="463"/>
      <c r="D65" s="463"/>
      <c r="E65" s="463"/>
      <c r="F65" s="463"/>
      <c r="G65" s="463"/>
      <c r="H65" s="463"/>
      <c r="I65" s="37"/>
    </row>
    <row r="66" spans="2:9" ht="27" customHeight="1">
      <c r="B66" s="470" t="s">
        <v>254</v>
      </c>
      <c r="C66" s="471"/>
      <c r="D66" s="471"/>
      <c r="E66" s="471"/>
      <c r="F66" s="471"/>
      <c r="G66" s="471"/>
      <c r="H66" s="472"/>
    </row>
    <row r="67" spans="2:9">
      <c r="B67" s="464"/>
      <c r="C67" s="465"/>
      <c r="D67" s="465"/>
      <c r="E67" s="465"/>
      <c r="F67" s="465"/>
      <c r="G67" s="465"/>
      <c r="H67" s="466"/>
    </row>
    <row r="68" spans="2:9">
      <c r="B68" s="464"/>
      <c r="C68" s="465"/>
      <c r="D68" s="465"/>
      <c r="E68" s="465"/>
      <c r="F68" s="465"/>
      <c r="G68" s="465"/>
      <c r="H68" s="466"/>
    </row>
    <row r="69" spans="2:9">
      <c r="B69" s="464"/>
      <c r="C69" s="465"/>
      <c r="D69" s="465"/>
      <c r="E69" s="465"/>
      <c r="F69" s="465"/>
      <c r="G69" s="465"/>
      <c r="H69" s="466"/>
    </row>
    <row r="70" spans="2:9">
      <c r="B70" s="464"/>
      <c r="C70" s="465"/>
      <c r="D70" s="465"/>
      <c r="E70" s="465"/>
      <c r="F70" s="465"/>
      <c r="G70" s="465"/>
      <c r="H70" s="466"/>
    </row>
    <row r="71" spans="2:9">
      <c r="B71" s="464"/>
      <c r="C71" s="465"/>
      <c r="D71" s="465"/>
      <c r="E71" s="465"/>
      <c r="F71" s="465"/>
      <c r="G71" s="465"/>
      <c r="H71" s="466"/>
    </row>
    <row r="72" spans="2:9">
      <c r="B72" s="464"/>
      <c r="C72" s="465"/>
      <c r="D72" s="465"/>
      <c r="E72" s="465"/>
      <c r="F72" s="465"/>
      <c r="G72" s="465"/>
      <c r="H72" s="466"/>
    </row>
    <row r="73" spans="2:9">
      <c r="B73" s="464"/>
      <c r="C73" s="465"/>
      <c r="D73" s="465"/>
      <c r="E73" s="465"/>
      <c r="F73" s="465"/>
      <c r="G73" s="465"/>
      <c r="H73" s="466"/>
    </row>
    <row r="74" spans="2:9">
      <c r="B74" s="467"/>
      <c r="C74" s="468"/>
      <c r="D74" s="468"/>
      <c r="E74" s="468"/>
      <c r="F74" s="468"/>
      <c r="G74" s="468"/>
      <c r="H74" s="469"/>
    </row>
  </sheetData>
  <mergeCells count="87">
    <mergeCell ref="W4:W5"/>
    <mergeCell ref="X4:X5"/>
    <mergeCell ref="B67:H74"/>
    <mergeCell ref="S4:S5"/>
    <mergeCell ref="T4:T5"/>
    <mergeCell ref="U4:U5"/>
    <mergeCell ref="V4:V5"/>
    <mergeCell ref="B66:H66"/>
    <mergeCell ref="B3:B4"/>
    <mergeCell ref="B35:B41"/>
    <mergeCell ref="C3:C4"/>
    <mergeCell ref="C36:C41"/>
    <mergeCell ref="E7:E17"/>
    <mergeCell ref="H27:H28"/>
    <mergeCell ref="D3:H4"/>
    <mergeCell ref="F13:H17"/>
    <mergeCell ref="B61:H61"/>
    <mergeCell ref="B62:H62"/>
    <mergeCell ref="B63:H63"/>
    <mergeCell ref="B64:H64"/>
    <mergeCell ref="B65:H65"/>
    <mergeCell ref="B56:H56"/>
    <mergeCell ref="B57:H57"/>
    <mergeCell ref="B58:H58"/>
    <mergeCell ref="B59:H59"/>
    <mergeCell ref="B60:H60"/>
    <mergeCell ref="B53:H53"/>
    <mergeCell ref="B54:D54"/>
    <mergeCell ref="F54:H54"/>
    <mergeCell ref="B55:D55"/>
    <mergeCell ref="F55:H55"/>
    <mergeCell ref="B48:H48"/>
    <mergeCell ref="B49:H49"/>
    <mergeCell ref="B50:H50"/>
    <mergeCell ref="B51:H51"/>
    <mergeCell ref="B52:H52"/>
    <mergeCell ref="D43:H43"/>
    <mergeCell ref="D44:H44"/>
    <mergeCell ref="D45:H45"/>
    <mergeCell ref="B46:H46"/>
    <mergeCell ref="B47:H47"/>
    <mergeCell ref="D38:H38"/>
    <mergeCell ref="D39:H39"/>
    <mergeCell ref="D40:H40"/>
    <mergeCell ref="D41:H41"/>
    <mergeCell ref="D42:H42"/>
    <mergeCell ref="D33:H33"/>
    <mergeCell ref="B34:H34"/>
    <mergeCell ref="D35:H35"/>
    <mergeCell ref="D36:H36"/>
    <mergeCell ref="D37:H37"/>
    <mergeCell ref="D28:G28"/>
    <mergeCell ref="D29:H29"/>
    <mergeCell ref="D30:H30"/>
    <mergeCell ref="D31:H31"/>
    <mergeCell ref="D32:H32"/>
    <mergeCell ref="D23:H23"/>
    <mergeCell ref="D24:H24"/>
    <mergeCell ref="D25:H25"/>
    <mergeCell ref="D26:H26"/>
    <mergeCell ref="D27:E27"/>
    <mergeCell ref="B14:D14"/>
    <mergeCell ref="B15:D15"/>
    <mergeCell ref="B16:D16"/>
    <mergeCell ref="B18:H18"/>
    <mergeCell ref="B17:D17"/>
    <mergeCell ref="B11:D11"/>
    <mergeCell ref="F11:H11"/>
    <mergeCell ref="B12:D12"/>
    <mergeCell ref="F12:H12"/>
    <mergeCell ref="B13:D13"/>
    <mergeCell ref="D20:F20"/>
    <mergeCell ref="B2:H2"/>
    <mergeCell ref="Q3:R3"/>
    <mergeCell ref="D5:H5"/>
    <mergeCell ref="B6:D6"/>
    <mergeCell ref="F6:H6"/>
    <mergeCell ref="Q4:Q5"/>
    <mergeCell ref="R4:R5"/>
    <mergeCell ref="B7:D7"/>
    <mergeCell ref="F7:H7"/>
    <mergeCell ref="B8:D8"/>
    <mergeCell ref="F8:H8"/>
    <mergeCell ref="B9:D9"/>
    <mergeCell ref="F9:H9"/>
    <mergeCell ref="B10:D10"/>
    <mergeCell ref="F10:H10"/>
  </mergeCells>
  <hyperlinks>
    <hyperlink ref="B15" r:id="rId1" xr:uid="{77922081-ED9A-400A-A7C5-EB9860058D5E}"/>
  </hyperlinks>
  <printOptions horizontalCentered="1" verticalCentered="1"/>
  <pageMargins left="0.23622047244094491" right="0.23622047244094491" top="0.11811023622047245" bottom="0.11811023622047245" header="0.31496062992125984" footer="0.31496062992125984"/>
  <pageSetup paperSize="9" scale="54"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CBA2</vt:lpstr>
      <vt:lpstr>Packing List</vt:lpstr>
      <vt:lpstr>rekap CBA 1</vt:lpstr>
      <vt:lpstr>RBL</vt:lpstr>
      <vt:lpstr>RBL 2</vt:lpstr>
      <vt:lpstr>SOW SHADOW</vt:lpstr>
      <vt:lpstr>'CBA2'!Print_Area</vt:lpstr>
      <vt:lpstr>RBL!Print_Area</vt:lpstr>
      <vt:lpstr>'rekap CBA 1'!Print_Area</vt:lpstr>
      <vt:lpstr>'SOW SHADOW'!Print_Area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Ikhsan Radiansyah</dc:creator>
  <cp:lastModifiedBy>Ikhsan Radiansyah</cp:lastModifiedBy>
  <cp:lastPrinted>2026-09-16T05:32:22Z</cp:lastPrinted>
  <dcterms:created xsi:type="dcterms:W3CDTF">2019-10-29T05:08:00Z</dcterms:created>
  <dcterms:modified xsi:type="dcterms:W3CDTF">2026-09-17T07:43:51Z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1033-12.2.0.20795</vt:lpwstr>
  </property>
  <property fmtid="{D5CDD505-2E9C-101B-9397-08002B2CF9AE}" pid="3" name="ICV">
    <vt:lpwstr>EB9C85EC0C19458A9E7E037A5323C8DC_13</vt:lpwstr>
  </property>
</Properties>
</file>